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c62d1628547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Pipeline" sheetId="1" r:id="R41cb25df764d4e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164" formatCode="mmm\ d\,\ yyyy"/>
    <x:numFmt numFmtId="165" formatCode="0\ &quot;days&quot;"/>
    <x:numFmt numFmtId="166" formatCode="\$#,##0;[Red]\(\$#,##0\);\-"/>
    <x:numFmt numFmtId="167" formatCode="0.0\x"/>
    <x:numFmt numFmtId="168" formatCode="0%;[Red]\(0%\);\-"/>
    <x:numFmt numFmtId="169" formatCode="#,##0;[Red]\(#,##0\);\-"/>
    <x:numFmt numFmtId="200" formatCode="&quot;$&quot;#,##0.00"/>
    <x:numFmt numFmtId="201" formatCode="dd/mm/yyyy"/>
    <x:numFmt numFmtId="202" formatCode="&quot;$&quot;#,##0.00;[Red](&quot;$&quot;#,##0.00);&quot;–&quot;"/>
  </x:numFmts>
  <x:fonts count="16">
    <x:font>
      <x:sz val="11"/>
      <x:color rgb="FF000000"/>
      <x:name val="Aptos Narrow"/>
    </x:font>
    <x:font>
      <x:b/>
      <x:sz val="14"/>
      <x:color rgb="FFFFFFFF"/>
      <x:name val="Arial"/>
    </x:font>
    <x:font>
      <x:sz val="11"/>
      <x:name val="Aptos Narrow"/>
    </x:font>
    <x:font>
      <x:sz val="11"/>
      <x:color theme="1"/>
      <x:name val="Arial"/>
    </x:font>
    <x:font>
      <x:b/>
      <x:sz val="10"/>
      <x:color rgb="FFFFFFFF"/>
      <x:name val="Arial"/>
    </x:font>
    <x:font>
      <x:b/>
      <x:sz val="10"/>
      <x:color rgb="FFF6FBF8"/>
      <x:name val="Arial"/>
    </x:font>
    <x:font>
      <x:b/>
      <x:sz val="9"/>
      <x:color rgb="FF17212B"/>
      <x:name val="Arial"/>
    </x:font>
    <x:font>
      <x:b/>
      <x:sz val="9"/>
      <x:color rgb="FF5B6570"/>
      <x:name val="Arial"/>
    </x:font>
    <x:font>
      <x:b/>
      <x:sz val="16"/>
      <x:color rgb="FF0B3D2E"/>
      <x:name val="Arial"/>
    </x:font>
    <x:font>
      <x:b/>
      <x:sz val="16"/>
      <x:color rgb="FFB3261E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sz val="9"/>
      <x:color rgb="FF0432FF"/>
      <x:name val="Arial"/>
    </x:font>
    <x:font>
      <x:sz val="10"/>
      <x:color rgb="FF183D32"/>
      <x:name val="Arial"/>
    </x:font>
    <x:font>
      <x:b/>
      <x:sz val="10"/>
      <x:color rgb="FF517269"/>
      <x:name val="Arial"/>
    </x:font>
    <x:font>
      <x:b/>
      <x:sz val="16"/>
      <x:color rgb="FF0C3C30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0B3D2E"/>
      </x:patternFill>
    </x:fill>
    <x:fill>
      <x:patternFill patternType="solid">
        <x:fgColor rgb="FF0F6B4F"/>
      </x:patternFill>
    </x:fill>
    <x:fill>
      <x:patternFill patternType="solid">
        <x:fgColor rgb="FFF6FBF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2FAF5"/>
      </x:patternFill>
    </x:fill>
    <x:fill>
      <x:patternFill patternType="solid">
        <x:fgColor rgb="FF0C3C30"/>
      </x:patternFill>
    </x:fill>
    <x:fill>
      <x:patternFill patternType="solid">
        <x:fgColor rgb="FFEEF6F1"/>
      </x:patternFill>
    </x:fill>
    <x:fill>
      <x:patternFill patternType="solid">
        <x:fgColor rgb="FFFFF8DF"/>
      </x:patternFill>
    </x:fill>
    <x:fill>
      <x:patternFill patternType="solid">
        <x:fgColor rgb="FFEAF4EE"/>
      </x:patternFill>
    </x:fill>
    <x:fill>
      <x:patternFill patternType="solid">
        <x:fgColor rgb="FFFFF1B8"/>
      </x:patternFill>
    </x:fill>
  </x:fills>
  <x:borders count="22">
    <x:border/>
    <x:border/>
    <x:border/>
    <x:border/>
    <x:border/>
    <x:border/>
    <x:border/>
    <x:border/>
    <x:border/>
    <x:border/>
    <x:border>
      <x:left style="thin">
        <x:color rgb="FFD9E0E6"/>
      </x:left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top style="thin">
        <x:color rgb="FFD9E0E6"/>
      </x:top>
      <x:bottom style="thin">
        <x:color rgb="FFD9E0E6"/>
      </x:bottom>
    </x:border>
    <x:border>
      <x:left style="thin">
        <x:color rgb="FFD9E0E6"/>
      </x:left>
      <x:top style="thin">
        <x:color rgb="FFD9E0E6"/>
      </x:top>
    </x:border>
    <x:border>
      <x:top style="thin">
        <x:color rgb="FFD9E0E6"/>
      </x:top>
    </x:border>
    <x:border>
      <x:right style="thin">
        <x:color rgb="FFD9E0E6"/>
      </x:right>
      <x:top style="thin">
        <x:color rgb="FFD9E0E6"/>
      </x:top>
    </x:border>
    <x:border>
      <x:left style="thin">
        <x:color rgb="FFD9E0E6"/>
      </x:left>
      <x:bottom style="thin">
        <x:color rgb="FFD9E0E6"/>
      </x:bottom>
    </x:border>
    <x:border>
      <x:bottom style="thin">
        <x:color rgb="FFD9E0E6"/>
      </x:bottom>
    </x:border>
    <x:border>
      <x:right style="thin">
        <x:color rgb="FFD9E0E6"/>
      </x:right>
      <x:bottom style="thin">
        <x:color rgb="FFD9E0E6"/>
      </x:bottom>
    </x:border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/>
  </x:borders>
  <x:cellStyleXfs count="1">
    <x:xf numFmtId="0" fontId="0" fillId="0" borderId="0"/>
  </x:cellStyleXfs>
  <x:cellXfs count="70">
    <x:xf numFmtId="0" fontId="0" fillId="0" borderId="0" xfId="0"/>
    <x:xf numFmtId="0" fontId="10" fillId="2" borderId="20" xfId="0" applyFont="1" applyFill="1" applyBorder="1" applyAlignment="1">
      <x:alignment horizontal="center" vertical="center" wrapText="1"/>
    </x:xf>
    <x:xf numFmtId="0" fontId="11" fillId="4" borderId="20" xfId="0" applyFont="1" applyFill="1" applyBorder="1" applyAlignment="1">
      <x:alignment horizontal="left" vertical="center"/>
    </x:xf>
    <x:xf numFmtId="168" fontId="11" fillId="4" borderId="20" xfId="0" applyNumberFormat="1" applyFont="1" applyFill="1" applyBorder="1" applyAlignment="1">
      <x:alignment horizontal="left" vertical="center"/>
    </x:xf>
    <x:xf numFmtId="0" fontId="11" fillId="4" borderId="20" xfId="0" applyFont="1" applyFill="1" applyBorder="1" applyAlignment="1">
      <x:alignment horizontal="left" vertical="center" wrapText="1"/>
    </x:xf>
    <x:xf numFmtId="0" fontId="11" fillId="4" borderId="20" xfId="0" applyFont="1" applyFill="1" applyBorder="1" applyAlignment="1">
      <x:alignment horizontal="center" vertical="center" wrapText="1"/>
    </x:xf>
    <x:xf numFmtId="166" fontId="11" fillId="4" borderId="20" xfId="0" applyNumberFormat="1" applyFont="1" applyFill="1" applyBorder="1" applyAlignment="1">
      <x:alignment horizontal="left" vertical="center" wrapText="1"/>
    </x:xf>
    <x:xf numFmtId="168" fontId="11" fillId="4" borderId="20" xfId="0" applyNumberFormat="1" applyFont="1" applyFill="1" applyBorder="1" applyAlignment="1">
      <x:alignment horizontal="right" vertical="center" wrapText="1"/>
    </x:xf>
    <x:xf numFmtId="164" fontId="11" fillId="4" borderId="20" xfId="0" applyNumberFormat="1" applyFont="1" applyFill="1" applyBorder="1" applyAlignment="1">
      <x:alignment horizontal="left" vertical="center" wrapText="1"/>
    </x:xf>
    <x:xf numFmtId="165" fontId="11" fillId="4" borderId="20" xfId="0" applyNumberFormat="1" applyFont="1" applyFill="1" applyBorder="1" applyAlignment="1">
      <x:alignment horizontal="left" vertical="center" wrapText="1"/>
    </x:xf>
    <x:xf numFmtId="166" fontId="11" fillId="4" borderId="20" xfId="0" applyNumberFormat="1" applyFont="1" applyFill="1" applyBorder="1" applyAlignment="1">
      <x:alignment horizontal="right" vertical="center" wrapText="1"/>
    </x:xf>
    <x:xf numFmtId="0" fontId="11" fillId="7" borderId="20" xfId="0" applyFont="1" applyFill="1" applyBorder="1" applyAlignment="1">
      <x:alignment horizontal="left" vertical="center" wrapText="1"/>
    </x:xf>
    <x:xf numFmtId="0" fontId="11" fillId="7" borderId="20" xfId="0" applyFont="1" applyFill="1" applyBorder="1" applyAlignment="1">
      <x:alignment horizontal="center" vertical="center" wrapText="1"/>
    </x:xf>
    <x:xf numFmtId="166" fontId="11" fillId="7" borderId="20" xfId="0" applyNumberFormat="1" applyFont="1" applyFill="1" applyBorder="1" applyAlignment="1">
      <x:alignment horizontal="left" vertical="center" wrapText="1"/>
    </x:xf>
    <x:xf numFmtId="168" fontId="11" fillId="7" borderId="20" xfId="0" applyNumberFormat="1" applyFont="1" applyFill="1" applyBorder="1" applyAlignment="1">
      <x:alignment horizontal="right" vertical="center" wrapText="1"/>
    </x:xf>
    <x:xf numFmtId="164" fontId="11" fillId="7" borderId="20" xfId="0" applyNumberFormat="1" applyFont="1" applyFill="1" applyBorder="1" applyAlignment="1">
      <x:alignment horizontal="left" vertical="center" wrapText="1"/>
    </x:xf>
    <x:xf numFmtId="165" fontId="11" fillId="7" borderId="20" xfId="0" applyNumberFormat="1" applyFont="1" applyFill="1" applyBorder="1" applyAlignment="1">
      <x:alignment horizontal="left" vertical="center" wrapText="1"/>
    </x:xf>
    <x:xf numFmtId="166" fontId="11" fillId="7" borderId="20" xfId="0" applyNumberFormat="1" applyFont="1" applyFill="1" applyBorder="1" applyAlignment="1">
      <x:alignment horizontal="right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164" fontId="12" fillId="5" borderId="12" xfId="0" applyNumberFormat="1" applyFont="1" applyFill="1" applyBorder="1" applyAlignment="1">
      <x:alignment horizontal="center" vertical="center"/>
    </x:xf>
    <x:xf numFmtId="165" fontId="12" fillId="5" borderId="12" xfId="0" applyNumberFormat="1" applyFont="1" applyFill="1" applyBorder="1" applyAlignment="1">
      <x:alignment horizontal="center" vertical="center"/>
    </x:xf>
    <x:xf numFmtId="166" fontId="12" fillId="5" borderId="12" xfId="0" applyNumberFormat="1" applyFont="1" applyFill="1" applyBorder="1" applyAlignment="1">
      <x:alignment horizontal="center" vertical="center"/>
    </x:xf>
    <x:xf numFmtId="169" fontId="11" fillId="6" borderId="21" xfId="0" applyNumberFormat="1" applyFont="1" applyFill="1" applyBorder="1" applyAlignment="1">
      <x:alignment horizontal="center" vertical="center"/>
    </x:xf>
    <x:xf numFmtId="0" fontId="11" fillId="6" borderId="21" xfId="0" applyFont="1" applyFill="1" applyBorder="1" applyAlignment="1">
      <x:alignment horizontal="center" vertical="center"/>
    </x:xf>
    <x:xf numFmtId="0" fontId="11" fillId="4" borderId="10" xfId="0" applyFont="1" applyFill="1" applyBorder="1" applyAlignment="1">
      <x:alignment horizontal="left" vertical="center" wrapText="1"/>
    </x:xf>
    <x:xf numFmtId="0" fontId="2" fillId="0" borderId="13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166" fontId="8" fillId="6" borderId="14" xfId="0" applyNumberFormat="1" applyFont="1" applyFill="1" applyBorder="1" applyAlignment="1">
      <x:alignment horizontal="center" vertical="center"/>
    </x:xf>
    <x:xf numFmtId="0" fontId="2" fillId="0" borderId="15" xfId="0" applyFont="1" applyBorder="1" applyAlignment="1">
      <x:alignment vertical="center"/>
    </x:xf>
    <x:xf numFmtId="0" fontId="2" fillId="0" borderId="16" xfId="0" applyFont="1" applyBorder="1" applyAlignment="1">
      <x:alignment vertical="center"/>
    </x:xf>
    <x:xf numFmtId="0" fontId="2" fillId="0" borderId="17" xfId="0" applyFont="1" applyBorder="1" applyAlignment="1">
      <x:alignment vertical="center"/>
    </x:xf>
    <x:xf numFmtId="0" fontId="2" fillId="0" borderId="18" xfId="0" applyFont="1" applyBorder="1" applyAlignment="1">
      <x:alignment vertical="center"/>
    </x:xf>
    <x:xf numFmtId="0" fontId="2" fillId="0" borderId="19" xfId="0" applyFont="1" applyBorder="1" applyAlignment="1">
      <x:alignment vertical="center"/>
    </x:xf>
    <x:xf numFmtId="167" fontId="8" fillId="6" borderId="14" xfId="0" applyNumberFormat="1" applyFont="1" applyFill="1" applyBorder="1" applyAlignment="1">
      <x:alignment horizontal="center" vertical="center"/>
    </x:xf>
    <x:xf numFmtId="0" fontId="7" fillId="4" borderId="10" xfId="0" applyFont="1" applyFill="1" applyBorder="1" applyAlignment="1">
      <x:alignment horizontal="center" vertical="center"/>
    </x:xf>
    <x:xf numFmtId="0" fontId="6" fillId="4" borderId="10" xfId="0" applyFont="1" applyFill="1" applyBorder="1" applyAlignment="1">
      <x:alignment horizontal="left" vertical="center" wrapText="1"/>
    </x:xf>
    <x:xf numFmtId="0" fontId="1" fillId="2" borderId="1" xfId="0" applyFont="1" applyFill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3" xfId="0" applyFont="1" applyBorder="1" applyAlignment="1">
      <x:alignment vertical="center"/>
    </x:xf>
    <x:xf numFmtId="0" fontId="4" fillId="3" borderId="4" xfId="0" applyFont="1" applyFill="1" applyBorder="1" applyAlignment="1">
      <x:alignment horizontal="left" vertical="center"/>
    </x:xf>
    <x:xf numFmtId="0" fontId="2" fillId="0" borderId="5" xfId="0" applyFont="1" applyBorder="1" applyAlignment="1">
      <x:alignment vertical="center"/>
    </x:xf>
    <x:xf numFmtId="0" fontId="2" fillId="0" borderId="6" xfId="0" applyFont="1" applyBorder="1" applyAlignment="1">
      <x:alignment vertical="center"/>
    </x:xf>
    <x:xf numFmtId="0" fontId="2" fillId="0" borderId="7" xfId="0" applyFont="1" applyBorder="1" applyAlignment="1">
      <x:alignment vertical="center"/>
    </x:xf>
    <x:xf numFmtId="0" fontId="2" fillId="0" borderId="8" xfId="0" applyFont="1" applyBorder="1" applyAlignment="1">
      <x:alignment vertical="center"/>
    </x:xf>
    <x:xf numFmtId="0" fontId="2" fillId="0" borderId="9" xfId="0" applyFont="1" applyBorder="1" applyAlignment="1">
      <x:alignment vertical="center"/>
    </x:xf>
    <x:xf numFmtId="0" fontId="5" fillId="2" borderId="1" xfId="0" applyFont="1" applyFill="1" applyBorder="1" applyAlignment="1">
      <x:alignment horizontal="left" vertical="center"/>
    </x:xf>
    <x:xf numFmtId="168" fontId="8" fillId="6" borderId="14" xfId="0" applyNumberFormat="1" applyFont="1" applyFill="1" applyBorder="1" applyAlignment="1">
      <x:alignment horizontal="center" vertical="center"/>
    </x:xf>
    <x:xf numFmtId="165" fontId="8" fillId="6" borderId="14" xfId="0" applyNumberFormat="1" applyFont="1" applyFill="1" applyBorder="1" applyAlignment="1">
      <x:alignment horizontal="center" vertical="center"/>
    </x:xf>
    <x:xf numFmtId="169" fontId="8" fillId="6" borderId="14" xfId="0" applyNumberFormat="1" applyFont="1" applyFill="1" applyBorder="1" applyAlignment="1">
      <x:alignment horizontal="center" vertical="center"/>
    </x:xf>
    <x:xf numFmtId="169" fontId="9" fillId="6" borderId="14" xfId="0" applyNumberFormat="1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left" vertical="center"/>
    </x:xf>
    <x:xf numFmtId="0" fontId="13" fillId="0" borderId="0" xfId="0" applyNumberFormat="1" applyFont="1" applyFill="1" applyBorder="1"/>
    <x:xf numFmtId="0" fontId="13" fillId="8" borderId="0" xfId="0" applyNumberFormat="1" applyFont="1" applyFill="1" applyBorder="1"/>
    <x:xf numFmtId="0" fontId="4" fillId="8" borderId="0" xfId="0" applyNumberFormat="1" applyFont="1" applyFill="1" applyBorder="1"/>
    <x:xf numFmtId="0" fontId="14" fillId="0" borderId="0" xfId="0" applyNumberFormat="1" applyFont="1" applyFill="1" applyBorder="1"/>
    <x:xf numFmtId="200" fontId="13" fillId="0" borderId="0" xfId="0" applyNumberFormat="1" applyFont="1" applyFill="1" applyBorder="1"/>
    <x:xf numFmtId="200" fontId="15" fillId="0" borderId="0" xfId="0" applyNumberFormat="1" applyFont="1" applyFill="1" applyBorder="1"/>
    <x:xf numFmtId="0" fontId="13" fillId="9" borderId="0" xfId="0" applyNumberFormat="1" applyFont="1" applyFill="1" applyBorder="1"/>
    <x:xf numFmtId="200" fontId="13" fillId="9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13" fillId="10" borderId="0" xfId="0" applyNumberFormat="1" applyFont="1" applyFill="1" applyBorder="1"/>
    <x:xf numFmtId="0" fontId="13" fillId="11" borderId="0" xfId="0" applyNumberFormat="1" applyFont="1" applyFill="1" applyBorder="1"/>
    <x:xf numFmtId="201" fontId="13" fillId="10" borderId="0" xfId="0" applyNumberFormat="1" applyFont="1" applyFill="1" applyBorder="1"/>
    <x:xf numFmtId="202" fontId="13" fillId="10" borderId="0" xfId="0" applyNumberFormat="1" applyFont="1" applyFill="1" applyBorder="1"/>
    <x:xf numFmtId="202" fontId="13" fillId="11" borderId="0" xfId="0" applyNumberFormat="1" applyFont="1" applyFill="1" applyBorder="1"/>
    <x:xf numFmtId="0" fontId="13" fillId="12" borderId="0" xfId="0" applyNumberFormat="1" applyFont="1" applyFill="1" applyBorder="1"/>
    <x:xf numFmtId="200" fontId="13" fillId="12" borderId="0" xfId="0" applyNumberFormat="1" applyFont="1" applyFill="1" applyBorder="1"/>
    <x:xf numFmtId="201" fontId="13" fillId="12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9"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174A7E"/>
      </x:font>
      <x:fill>
        <x:patternFill>
          <x:bgColor rgb="FFDCEAF7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E4C5C7"/>
        </x:patternFill>
      </x:fill>
    </x:dxf>
    <x:dxf>
      <x:font>
        <x:b/>
        <x:color rgb="FF0B3D2E"/>
      </x:font>
      <x:fill>
        <x:patternFill>
          <x:bgColor rgb="FF66BB8A"/>
        </x:patternFill>
      </x:fill>
    </x:dxf>
    <x:dxf>
      <x:font>
        <x:b/>
        <x:color rgb="FFA64B00"/>
      </x:font>
      <x:fill>
        <x:patternFill>
          <x:bgColor rgb="FFF6C9A8"/>
        </x:patternFill>
      </x:fill>
    </x:dxf>
    <x:dxf>
      <x:font>
        <x:b/>
        <x:color rgb="FF8A6400"/>
      </x:font>
      <x:fill>
        <x:patternFill>
          <x:bgColor rgb="FFF6E7B8"/>
        </x:patternFill>
      </x:fill>
    </x:dxf>
    <x:dxf>
      <x:font>
        <x:b/>
        <x:color rgb="FF0B3D2E"/>
      </x:font>
      <x:fill>
        <x:patternFill>
          <x:bgColor rgb="FF9ACFB5"/>
        </x:patternFill>
      </x:fill>
    </x:dxf>
    <x:dxf>
      <x:font>
        <x:b/>
        <x:color rgb="FF0B3D2E"/>
      </x:font>
      <x:fill>
        <x:patternFill>
          <x:bgColor rgb="FFB5DEC8"/>
        </x:patternFill>
      </x:fill>
    </x:dxf>
    <x:dxf>
      <x:font>
        <x:b/>
        <x:color rgb="FF0B3D2E"/>
      </x:font>
      <x:fill>
        <x:patternFill>
          <x:bgColor rgb="FFCDEBDD"/>
        </x:patternFill>
      </x:fill>
    </x:dxf>
    <x:dxf>
      <x:font>
        <x:b/>
        <x:color rgb="FF0B3D2E"/>
      </x:font>
      <x:fill>
        <x:patternFill>
          <x:bgColor rgb="FFDDEFE6"/>
        </x:patternFill>
      </x:fill>
    </x:dxf>
    <x:dxf>
      <x:font>
        <x:color rgb="FFA12622"/>
      </x:font>
      <x:fill>
        <x:patternFill patternType="solid">
          <x:bgColor rgb="FFFADBD8"/>
        </x:patternFill>
      </x:fill>
    </x:dxf>
    <x:dxf>
      <x:font>
        <x:b/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2a9fd6ac5143a5" /><Relationship Type="http://schemas.openxmlformats.org/officeDocument/2006/relationships/theme" Target="/xl/theme/theme1.xml" Id="Rd2610e806f67410e" /><Relationship Type="http://schemas.openxmlformats.org/officeDocument/2006/relationships/sharedStrings" Target="/xl/sharedStrings.xml" Id="R11d4e2ec696241c3" /><Relationship Type="http://schemas.openxmlformats.org/officeDocument/2006/relationships/worksheet" Target="/xl/worksheets/sheet1.xml" Id="R41cb25df764d4e82" /></Relationships>
</file>

<file path=xl/tables/table1.xml><?xml version="1.0" encoding="utf-8"?>
<x:table xmlns:x="http://schemas.openxmlformats.org/spreadsheetml/2006/main" id="1" name="MovimientosCaja" displayName="MovimientosCaja" ref="A14:K314" headerRowCount="1" totalsRowCount="0" totalsRowShown="0">
  <x:autoFilter ref="A14:K314"/>
  <x:tableColumns count="11">
    <x:tableColumn id="1" name="Fecha"/>
    <x:tableColumn id="2" name="Jornada"/>
    <x:tableColumn id="3" name="Categoría"/>
    <x:tableColumn id="4" name="Equipo / proveedor"/>
    <x:tableColumn id="5" name="Concepto"/>
    <x:tableColumn id="6" name="Entrada"/>
    <x:tableColumn id="7" name="Salida"/>
    <x:tableColumn id="8" name="Saldo"/>
    <x:tableColumn id="9" name="Responsable"/>
    <x:tableColumn id="10" name="Folio / recibo"/>
    <x:tableColumn id="11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3003ab4a8148d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4" topLeftCell="A15" activePane="bottomLeft" state="frozen"/>
    </x:sheetView>
  </x:sheetViews>
  <x:sheetFormatPr baseColWidth="10" defaultColWidth="12.6640625" defaultRowHeight="15"/>
  <x:cols>
    <x:col min="1" max="1" width="13" style="18" hidden="0" customWidth="1"/>
    <x:col min="2" max="2" width="13" style="18" hidden="0" customWidth="1"/>
    <x:col min="3" max="3" width="21" style="18" hidden="0" customWidth="1"/>
    <x:col min="4" max="4" width="25" style="18" hidden="0" customWidth="1"/>
    <x:col min="5" max="5" width="29" style="18" hidden="0" customWidth="1"/>
    <x:col min="6" max="6" width="15" style="18" hidden="0" customWidth="1"/>
    <x:col min="7" max="8" width="18" style="18" customWidth="1"/>
    <x:col min="9" max="9" width="18" style="18" hidden="0" customWidth="1"/>
    <x:col min="10" max="10" width="19" style="18" hidden="0" customWidth="1"/>
    <x:col min="11" max="11" width="25" style="18" hidden="0" customWidth="1"/>
    <x:col min="12" max="13" width="20" style="18" customWidth="1"/>
    <x:col min="14" max="14" width="19" style="18" hidden="0" customWidth="1"/>
    <x:col min="15" max="15" width="17" style="18" customWidth="1"/>
    <x:col min="16" max="16" width="3" style="18" customWidth="1"/>
    <x:col min="17" max="17" width="24" style="18" customWidth="1"/>
    <x:col min="18" max="18" width="14" style="18" customWidth="1"/>
    <x:col min="19" max="19" width="16" style="18" customWidth="1"/>
    <x:col min="20" max="27" width="8.83203125" style="18" customWidth="1"/>
    <x:col min="28" max="16384" width="12.6640625" style="18" customWidth="0"/>
    <x:col min="7" max="7" width="15" hidden="0" customWidth="1"/>
    <x:col min="8" max="8" width="15" hidden="0" customWidth="1"/>
    <x:col min="12" max="12" width="3" hidden="0" customWidth="1"/>
    <x:col min="13" max="13" width="31" hidden="0" customWidth="1"/>
  </x:cols>
  <x:sheetData>
    <x:row r="1" ht="30" customHeight="1">
      <x:c r="A1" s="54" t="str">
        <x:v>Control de efectivo del torneo de flag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2"/>
      <x:c r="M1" s="54" t="str">
        <x:v>Configuración y cierre</x:v>
      </x:c>
      <x:c r="N1" s="54"/>
    </x:row>
    <x:row r="2" ht="22" customHeight="1">
      <x:c r="A2" s="52" t="str">
        <x:v>PROTOTIPO · Importes de ejemplo en MXN. Borra A15:G19 e I15:K19 antes de usar.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 t="str">
        <x:v>Moneda</x:v>
      </x:c>
      <x:c r="N2" s="66" t="str">
        <x:v>MXN</x:v>
      </x:c>
      <x:c r="O2"/>
      <x:c r="P2"/>
      <x:c r="Q2"/>
      <x:c r="R2"/>
      <x:c r="S2"/>
    </x:row>
    <x:row r="3" ht="22" customHeight="1">
      <x:c r="A3" s="52" t="str">
        <x:v>Registra solo efectivo recibido o entregado; las transferencias no entran en esta caja.</x:v>
      </x:c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 t="str">
        <x:v>Fondo inicial</x:v>
      </x:c>
      <x:c r="N3" s="67" t="n">
        <x:v>500</x:v>
      </x:c>
      <x:c r="O3"/>
      <x:c r="P3"/>
      <x:c r="Q3"/>
      <x:c r="R3"/>
      <x:c r="S3"/>
    </x:row>
    <x:row r="4" ht="22" customHeight="1">
      <x:c r="A4" s="52"/>
      <x:c r="B4" s="52"/>
      <x:c r="C4" s="52"/>
      <x:c r="D4" s="52"/>
      <x:c r="E4" s="52"/>
      <x:c r="F4" s="52"/>
      <x:c r="G4" s="52"/>
      <x:c r="H4" s="52"/>
      <x:c r="I4" s="52"/>
      <x:c r="J4" s="52"/>
      <x:c r="K4" s="52"/>
      <x:c r="L4" s="52"/>
      <x:c r="M4" s="52" t="str">
        <x:v>Efectivo contado</x:v>
      </x:c>
      <x:c r="N4" s="67"/>
      <x:c r="O4"/>
      <x:c r="P4"/>
      <x:c r="Q4"/>
      <x:c r="R4"/>
      <x:c r="S4"/>
    </x:row>
    <x:row r="5" ht="22" customHeight="1">
      <x:c r="A5" s="55" t="str">
        <x:v>FONDO INICIAL</x:v>
      </x:c>
      <x:c r="B5" s="52"/>
      <x:c r="C5" s="52"/>
      <x:c r="D5" s="55" t="str">
        <x:v>ENTRADAS</x:v>
      </x:c>
      <x:c r="E5" s="52"/>
      <x:c r="F5" s="52"/>
      <x:c r="G5" s="55" t="str">
        <x:v>SALIDAS</x:v>
      </x:c>
      <x:c r="H5" s="52"/>
      <x:c r="I5" s="52"/>
      <x:c r="J5" s="55" t="str">
        <x:v>SALDO ESPERADO</x:v>
      </x:c>
      <x:c r="K5" s="52"/>
      <x:c r="L5" s="52"/>
      <x:c r="M5" s="52" t="str">
        <x:v>Responsable del cierre</x:v>
      </x:c>
      <x:c r="N5" s="66"/>
      <x:c r="O5"/>
      <x:c r="P5"/>
      <x:c r="Q5"/>
      <x:c r="R5"/>
      <x:c r="S5"/>
    </x:row>
    <x:row r="6" ht="22" customHeight="1">
      <x:c r="A6" s="57" t="n">
        <x:f>$N$3</x:f>
        <x:v>500</x:v>
      </x:c>
      <x:c r="B6" s="52"/>
      <x:c r="C6" s="52"/>
      <x:c r="D6" s="57" t="n">
        <x:f>SUM(F15:F314)</x:f>
        <x:v>4450</x:v>
      </x:c>
      <x:c r="E6" s="52"/>
      <x:c r="F6" s="52"/>
      <x:c r="G6" s="57" t="n">
        <x:f>SUM(G15:G314)</x:f>
        <x:v>2000</x:v>
      </x:c>
      <x:c r="H6" s="52"/>
      <x:c r="I6" s="52"/>
      <x:c r="J6" s="57" t="n">
        <x:f>A6+D6-G6</x:f>
        <x:v>2950</x:v>
      </x:c>
      <x:c r="K6" s="52"/>
      <x:c r="L6" s="52"/>
      <x:c r="M6" s="52" t="str">
        <x:v>Fecha del cierre</x:v>
      </x:c>
      <x:c r="N6" s="68"/>
      <x:c r="O6"/>
      <x:c r="P6"/>
      <x:c r="Q6"/>
      <x:c r="R6"/>
      <x:c r="S6"/>
    </x:row>
    <x:row r="7" ht="22" customHeight="1">
      <x:c r="A7" s="52"/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/>
      <x:c r="P7"/>
      <x:c r="Q7"/>
      <x:c r="R7"/>
      <x:c r="S7"/>
    </x:row>
    <x:row r="8" ht="22" customHeight="1">
      <x:c r="A8" s="58" t="str">
        <x:v>CIERRE DE CAJA</x:v>
      </x:c>
      <x:c r="B8" s="58"/>
      <x:c r="C8" s="58"/>
      <x:c r="D8" s="58" t="str">
        <x:v>EFECTIVO CONTADO</x:v>
      </x:c>
      <x:c r="E8" s="58"/>
      <x:c r="F8" s="58"/>
      <x:c r="G8" s="58" t="str">
        <x:v>DIFERENCIA</x:v>
      </x:c>
      <x:c r="H8" s="58"/>
      <x:c r="I8" s="58"/>
      <x:c r="J8" s="58" t="str">
        <x:v>RESULTADO</x:v>
      </x:c>
      <x:c r="K8" s="58"/>
      <x:c r="L8" s="52"/>
      <x:c r="M8" s="54" t="str">
        <x:v>Cómo usar</x:v>
      </x:c>
      <x:c r="N8" s="54"/>
      <x:c r="O8"/>
      <x:c r="P8"/>
      <x:c r="Q8"/>
      <x:c r="R8"/>
      <x:c r="S8"/>
    </x:row>
    <x:row r="9" ht="22" customHeight="1">
      <x:c r="A9" s="58"/>
      <x:c r="B9" s="58"/>
      <x:c r="C9" s="58"/>
      <x:c r="D9" s="59" t="str">
        <x:f>IF(N4="","",N4)</x:f>
      </x:c>
      <x:c r="E9" s="59"/>
      <x:c r="F9" s="59"/>
      <x:c r="G9" s="59" t="str">
        <x:f>IF(N4="","",D9-J6)</x:f>
      </x:c>
      <x:c r="H9" s="59"/>
      <x:c r="I9" s="59"/>
      <x:c r="J9" s="58" t="str">
        <x:f>IF(N4="","Sin contar",IF(G9=0,"Cuadra",IF(G9&lt;0,"Faltante","Sobrante")))</x:f>
        <x:v>Sin contar</x:v>
      </x:c>
      <x:c r="K9" s="58"/>
      <x:c r="L9" s="52"/>
      <x:c r="M9" s="69" t="str">
        <x:v>1. Cambia el fondo inicial por tu efectivo de apertura. No lo registres otra vez como entrada.</x:v>
      </x:c>
      <x:c r="N9" s="69"/>
      <x:c r="O9"/>
      <x:c r="P9"/>
      <x:c r="Q9"/>
      <x:c r="R9"/>
      <x:c r="S9"/>
    </x:row>
    <x:row r="10" ht="22" customHeight="1">
      <x:c r="A10" s="52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69"/>
      <x:c r="N10" s="69"/>
      <x:c r="O10"/>
      <x:c r="P10"/>
      <x:c r="Q10"/>
      <x:c r="R10"/>
      <x:c r="S10"/>
    </x:row>
    <x:row r="11" ht="22" customHeight="1">
      <x:c r="A11" s="54" t="str">
        <x:v>Movimientos de caja</x:v>
      </x:c>
      <x:c r="B11" s="54"/>
      <x:c r="C11" s="54"/>
      <x:c r="D11" s="54"/>
      <x:c r="E11" s="54"/>
      <x:c r="F11" s="54"/>
      <x:c r="G11" s="54"/>
      <x:c r="H11" s="54"/>
      <x:c r="I11" s="54"/>
      <x:c r="J11" s="54"/>
      <x:c r="K11" s="54"/>
      <x:c r="L11" s="52"/>
      <x:c r="M11" s="69" t="str">
        <x:v>2. Borra los datos de ejemplo. Conserva las fórmulas de la columna H.</x:v>
      </x:c>
      <x:c r="N11" s="69"/>
      <x:c r="O11"/>
      <x:c r="P11"/>
      <x:c r="Q11"/>
      <x:c r="R11"/>
      <x:c r="S11"/>
    </x:row>
    <x:row r="12" ht="22" customHeight="1">
      <x:c r="A12" s="52" t="str">
        <x:v>Amarillo: captura manual. Verde claro: saldo automático. Usa una sola columna de importe por movimiento.</x:v>
      </x:c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69"/>
      <x:c r="N12" s="69"/>
      <x:c r="O12"/>
      <x:c r="P12"/>
      <x:c r="Q12"/>
      <x:c r="R12"/>
      <x:c r="S12"/>
    </x:row>
    <x:row r="13" ht="22" customHeight="1">
      <x:c r="A13" s="52" t="str">
        <x:v>Capacidad: 300 movimientos (filas 15–314). Saldo por orden de captura; el resumen incluye todas las filas, aun con filtros.</x:v>
      </x:c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69" t="str">
        <x:v>3. Captura una fila por cobro o pago, con importe positivo y recibo.</x:v>
      </x:c>
      <x:c r="N13" s="69"/>
      <x:c r="O13"/>
      <x:c r="P13"/>
      <x:c r="Q13"/>
      <x:c r="R13"/>
      <x:c r="S13"/>
    </x:row>
    <x:row r="14" ht="32" customHeight="1">
      <x:c r="A14" s="60" t="str">
        <x:v>Fecha</x:v>
      </x:c>
      <x:c r="B14" s="60" t="str">
        <x:v>Jornada</x:v>
      </x:c>
      <x:c r="C14" s="60" t="str">
        <x:v>Categoría</x:v>
      </x:c>
      <x:c r="D14" s="60" t="str">
        <x:v>Equipo / proveedor</x:v>
      </x:c>
      <x:c r="E14" s="60" t="str">
        <x:v>Concepto</x:v>
      </x:c>
      <x:c r="F14" s="60" t="str">
        <x:v>Entrada</x:v>
      </x:c>
      <x:c r="G14" s="60" t="str">
        <x:v>Salida</x:v>
      </x:c>
      <x:c r="H14" s="60" t="str">
        <x:v>Saldo</x:v>
      </x:c>
      <x:c r="I14" s="60" t="str">
        <x:v>Responsable</x:v>
      </x:c>
      <x:c r="J14" s="60" t="str">
        <x:v>Folio / recibo</x:v>
      </x:c>
      <x:c r="K14" s="60" t="str">
        <x:v>Observaciones</x:v>
      </x:c>
      <x:c r="L14" s="52"/>
      <x:c r="M14" s="69"/>
      <x:c r="N14" s="69"/>
      <x:c r="O14"/>
      <x:c r="P14"/>
      <x:c r="Q14"/>
      <x:c r="R14"/>
      <x:c r="S14"/>
    </x:row>
    <x:row r="15" ht="22" customHeight="1">
      <x:c r="A15" s="63" t="n">
        <x:v>46279.5</x:v>
      </x:c>
      <x:c r="B15" s="61" t="str">
        <x:v>Jornada 1</x:v>
      </x:c>
      <x:c r="C15" s="61" t="str">
        <x:v>Inscripción</x:v>
      </x:c>
      <x:c r="D15" s="61" t="str">
        <x:v>Halcones</x:v>
      </x:c>
      <x:c r="E15" s="61" t="str">
        <x:v>Pago de inscripción</x:v>
      </x:c>
      <x:c r="F15" s="64" t="n">
        <x:v>2500</x:v>
      </x:c>
      <x:c r="G15" s="64"/>
      <x:c r="H15" s="65" t="n">
        <x:f>IF(COUNTA(A15:G15)=0,"",$N$3+SUM($F$15:F15)-SUM($G$15:G15))</x:f>
        <x:v>3000</x:v>
      </x:c>
      <x:c r="I15" s="61" t="str">
        <x:v>Ana</x:v>
      </x:c>
      <x:c r="J15" s="61" t="str">
        <x:v>E-001</x:v>
      </x:c>
      <x:c r="K15" s="61" t="str">
        <x:v>EJEMPLO</x:v>
      </x:c>
      <x:c r="L15" s="52"/>
      <x:c r="M15" s="69" t="str">
        <x:v>4. Usa Entrada O Salida. Rojo indica que llenaste ambas.</x:v>
      </x:c>
      <x:c r="N15" s="69"/>
      <x:c r="O15"/>
      <x:c r="P15"/>
      <x:c r="Q15"/>
      <x:c r="R15"/>
      <x:c r="S15"/>
    </x:row>
    <x:row r="16" ht="22" customHeight="1">
      <x:c r="A16" s="63" t="n">
        <x:v>46279.5</x:v>
      </x:c>
      <x:c r="B16" s="61" t="str">
        <x:v>Jornada 1</x:v>
      </x:c>
      <x:c r="C16" s="61" t="str">
        <x:v>Inscripción</x:v>
      </x:c>
      <x:c r="D16" s="61" t="str">
        <x:v>Lobos</x:v>
      </x:c>
      <x:c r="E16" s="61" t="str">
        <x:v>Anticipo de inscripción</x:v>
      </x:c>
      <x:c r="F16" s="64" t="n">
        <x:f t="shared" ref="F16:F39" si="0">IF(B16="","",IFERROR(INDEX($R$11:$R$18,MATCH(D16,$Q$11:$Q$18,0)),0))</x:f>
        <x:v>1500</x:v>
      </x:c>
      <x:c r="G16" s="64"/>
      <x:c r="H16" s="65" t="n">
        <x:f>IF(COUNTA(A16:G16)=0,"",$N$3+SUM($F$15:F16)-SUM($G$15:G16))</x:f>
        <x:v>4500</x:v>
      </x:c>
      <x:c r="I16" s="61" t="str">
        <x:v>Ana</x:v>
      </x:c>
      <x:c r="J16" s="61" t="str">
        <x:f t="shared" ref="J16:J39" si="1">IF(B16="","",IF(OR(D16="Closed Won",D16="Closed Lost"),"Closed",IF(OR(I16&gt;$S$7,H16&lt;$S$4),"STALE","Current")))</x:f>
        <x:v>E-002</x:v>
      </x:c>
      <x:c r="K16" s="61" t="str">
        <x:v>EJEMPLO</x:v>
      </x:c>
      <x:c r="L16" s="52"/>
      <x:c r="M16" s="69"/>
      <x:c r="N16" s="69"/>
      <x:c r="O16">
        <x:f t="shared" ref="O16:O39" si="2">IF(B16="","",E16*F16)</x:f>
      </x:c>
      <x:c r="P16"/>
      <x:c r="Q16"/>
      <x:c r="R16"/>
      <x:c r="S16"/>
    </x:row>
    <x:row r="17" ht="22" customHeight="1">
      <x:c r="A17" s="63" t="n">
        <x:v>46279.5</x:v>
      </x:c>
      <x:c r="B17" s="61" t="str">
        <x:v>Jornada 1</x:v>
      </x:c>
      <x:c r="C17" s="61" t="str">
        <x:v>Arbitraje</x:v>
      </x:c>
      <x:c r="D17" s="61" t="str">
        <x:v>Árbitros</x:v>
      </x:c>
      <x:c r="E17" s="61" t="str">
        <x:v>Pago de jornada</x:v>
      </x:c>
      <x:c r="F17" s="64">
        <x:f t="shared" si="0"/>
      </x:c>
      <x:c r="G17" s="64" t="n">
        <x:v>800</x:v>
      </x:c>
      <x:c r="H17" s="65" t="n">
        <x:f>IF(COUNTA(A17:G17)=0,"",$N$3+SUM($F$15:F17)-SUM($G$15:G17))</x:f>
        <x:v>3700</x:v>
      </x:c>
      <x:c r="I17" s="61" t="str">
        <x:v>Ana</x:v>
      </x:c>
      <x:c r="J17" s="61" t="str">
        <x:f t="shared" si="1"/>
        <x:v>S-001</x:v>
      </x:c>
      <x:c r="K17" s="61" t="str">
        <x:v>EJEMPLO</x:v>
      </x:c>
      <x:c r="L17" s="52"/>
      <x:c r="M17" s="69" t="str">
        <x:v>5. Al cerrar, cuenta billetes y monedas y captura el total en N4.</x:v>
      </x:c>
      <x:c r="N17" s="69"/>
      <x:c r="O17">
        <x:f t="shared" si="2"/>
      </x:c>
      <x:c r="P17"/>
      <x:c r="Q17"/>
      <x:c r="R17"/>
      <x:c r="S17"/>
    </x:row>
    <x:row r="18" ht="22" customHeight="1">
      <x:c r="A18" s="63" t="n">
        <x:v>46279.5</x:v>
      </x:c>
      <x:c r="B18" s="61" t="str">
        <x:v>Jornada 1</x:v>
      </x:c>
      <x:c r="C18" s="61" t="str">
        <x:v>Cancha</x:v>
      </x:c>
      <x:c r="D18" s="61" t="str">
        <x:v>Unidad deportiva</x:v>
      </x:c>
      <x:c r="E18" s="61" t="str">
        <x:v>Renta de cancha</x:v>
      </x:c>
      <x:c r="F18" s="64">
        <x:f t="shared" si="0"/>
      </x:c>
      <x:c r="G18" s="64" t="n">
        <x:v>1200</x:v>
      </x:c>
      <x:c r="H18" s="65" t="n">
        <x:f>IF(COUNTA(A18:G18)=0,"",$N$3+SUM($F$15:F18)-SUM($G$15:G18))</x:f>
        <x:v>2500</x:v>
      </x:c>
      <x:c r="I18" s="61" t="str">
        <x:v>Ana</x:v>
      </x:c>
      <x:c r="J18" s="61" t="str">
        <x:f t="shared" si="1"/>
        <x:v>S-002</x:v>
      </x:c>
      <x:c r="K18" s="61" t="str">
        <x:v>EJEMPLO</x:v>
      </x:c>
      <x:c r="L18" s="52"/>
      <x:c r="M18" s="69"/>
      <x:c r="N18" s="69"/>
      <x:c r="O18">
        <x:f t="shared" si="2"/>
      </x:c>
      <x:c r="P18"/>
      <x:c r="Q18"/>
      <x:c r="R18"/>
      <x:c r="S18"/>
    </x:row>
    <x:row r="19" ht="22" customHeight="1">
      <x:c r="A19" s="63" t="n">
        <x:v>46279.5</x:v>
      </x:c>
      <x:c r="B19" s="61" t="str">
        <x:v>Jornada 1</x:v>
      </x:c>
      <x:c r="C19" s="61" t="str">
        <x:v>Venta</x:v>
      </x:c>
      <x:c r="D19" s="61" t="str">
        <x:v>Público</x:v>
      </x:c>
      <x:c r="E19" s="61" t="str">
        <x:v>Venta de bebidas</x:v>
      </x:c>
      <x:c r="F19" s="64" t="n">
        <x:f t="shared" si="0"/>
        <x:v>450</x:v>
      </x:c>
      <x:c r="G19" s="64"/>
      <x:c r="H19" s="65" t="n">
        <x:f>IF(COUNTA(A19:G19)=0,"",$N$3+SUM($F$15:F19)-SUM($G$15:G19))</x:f>
        <x:v>2950</x:v>
      </x:c>
      <x:c r="I19" s="61" t="str">
        <x:v>Ana</x:v>
      </x:c>
      <x:c r="J19" s="61" t="str">
        <x:f t="shared" si="1"/>
        <x:v>E-003</x:v>
      </x:c>
      <x:c r="K19" s="61" t="str">
        <x:v>EJEMPLO</x:v>
      </x:c>
      <x:c r="L19" s="52"/>
      <x:c r="M19" s="69" t="str">
        <x:v>6. Diferencia = contado menos esperado. Negativo: faltante; positivo: sobrante.</x:v>
      </x:c>
      <x:c r="N19" s="69"/>
      <x:c r="O19">
        <x:f t="shared" si="2"/>
      </x:c>
      <x:c r="P19"/>
      <x:c r="Q19"/>
      <x:c r="R19"/>
      <x:c r="S19"/>
    </x:row>
    <x:row r="20" ht="22" customHeight="1">
      <x:c r="A20" s="63"/>
      <x:c r="B20" s="61"/>
      <x:c r="C20" s="61"/>
      <x:c r="D20" s="61"/>
      <x:c r="E20" s="61"/>
      <x:c r="F20" s="64">
        <x:f t="shared" si="0"/>
      </x:c>
      <x:c r="G20" s="64"/>
      <x:c r="H20" s="65" t="str">
        <x:f>IF(COUNTA(A20:G20)=0,"",$N$3+SUM($F$15:F20)-SUM($G$15:G20))</x:f>
      </x:c>
      <x:c r="I20" s="61"/>
      <x:c r="J20" s="61">
        <x:f t="shared" si="1"/>
      </x:c>
      <x:c r="K20" s="61"/>
      <x:c r="L20" s="52"/>
      <x:c r="M20" s="69"/>
      <x:c r="N20" s="69"/>
      <x:c r="O20">
        <x:f t="shared" si="2"/>
      </x:c>
      <x:c r="P20"/>
      <x:c r="Q20"/>
      <x:c r="R20"/>
      <x:c r="S20"/>
    </x:row>
    <x:row r="21" ht="22" customHeight="1">
      <x:c r="A21" s="63"/>
      <x:c r="B21" s="61"/>
      <x:c r="C21" s="61"/>
      <x:c r="D21" s="61"/>
      <x:c r="E21" s="61"/>
      <x:c r="F21" s="64">
        <x:f t="shared" si="0"/>
      </x:c>
      <x:c r="G21" s="64"/>
      <x:c r="H21" s="65" t="str">
        <x:f>IF(COUNTA(A21:G21)=0,"",$N$3+SUM($F$15:F21)-SUM($G$15:G21))</x:f>
      </x:c>
      <x:c r="I21" s="61"/>
      <x:c r="J21" s="61">
        <x:f t="shared" si="1"/>
      </x:c>
      <x:c r="K21" s="61"/>
      <x:c r="L21" s="52"/>
      <x:c r="M21" s="69" t="str">
        <x:v>7. Los depósitos a banco son salidas de efectivo; no son gastos del torneo.</x:v>
      </x:c>
      <x:c r="N21" s="69"/>
      <x:c r="O21">
        <x:f t="shared" si="2"/>
      </x:c>
      <x:c r="P21"/>
      <x:c r="Q21"/>
      <x:c r="R21"/>
      <x:c r="S21"/>
    </x:row>
    <x:row r="22" ht="22" customHeight="1">
      <x:c r="A22" s="63"/>
      <x:c r="B22" s="61"/>
      <x:c r="C22" s="61"/>
      <x:c r="D22" s="61"/>
      <x:c r="E22" s="61"/>
      <x:c r="F22" s="64">
        <x:f t="shared" si="0"/>
      </x:c>
      <x:c r="G22" s="64"/>
      <x:c r="H22" s="65" t="str">
        <x:f>IF(COUNTA(A22:G22)=0,"",$N$3+SUM($F$15:F22)-SUM($G$15:G22))</x:f>
      </x:c>
      <x:c r="I22" s="61"/>
      <x:c r="J22" s="61">
        <x:f t="shared" si="1"/>
      </x:c>
      <x:c r="K22" s="61"/>
      <x:c r="L22" s="52"/>
      <x:c r="M22" s="69"/>
      <x:c r="N22" s="69"/>
      <x:c r="O22">
        <x:f t="shared" si="2"/>
      </x:c>
      <x:c r="P22"/>
      <x:c r="Q22"/>
      <x:c r="R22"/>
      <x:c r="S22"/>
    </x:row>
    <x:row r="23" ht="22" customHeight="1">
      <x:c r="A23" s="63"/>
      <x:c r="B23" s="61"/>
      <x:c r="C23" s="61"/>
      <x:c r="D23" s="61"/>
      <x:c r="E23" s="61"/>
      <x:c r="F23" s="64">
        <x:f t="shared" si="0"/>
      </x:c>
      <x:c r="G23" s="64"/>
      <x:c r="H23" s="65" t="str">
        <x:f>IF(COUNTA(A23:G23)=0,"",$N$3+SUM($F$15:F23)-SUM($G$15:G23))</x:f>
      </x:c>
      <x:c r="I23" s="61"/>
      <x:c r="J23" s="61">
        <x:f t="shared" si="1"/>
      </x:c>
      <x:c r="K23" s="61"/>
      <x:c r="L23" s="52"/>
      <x:c r="M23" s="69" t="str">
        <x:v>8. El saldo de caja no representa utilidad. Esta hoja controla efectivo físico.</x:v>
      </x:c>
      <x:c r="N23" s="69"/>
      <x:c r="O23">
        <x:f t="shared" si="2"/>
      </x:c>
      <x:c r="P23"/>
      <x:c r="Q23"/>
      <x:c r="R23"/>
      <x:c r="S23"/>
    </x:row>
    <x:row r="24" ht="22" customHeight="1">
      <x:c r="A24" s="63"/>
      <x:c r="B24" s="61"/>
      <x:c r="C24" s="61"/>
      <x:c r="D24" s="61"/>
      <x:c r="E24" s="61"/>
      <x:c r="F24" s="64">
        <x:f t="shared" si="0"/>
      </x:c>
      <x:c r="G24" s="64"/>
      <x:c r="H24" s="65" t="str">
        <x:f>IF(COUNTA(A24:G24)=0,"",$N$3+SUM($F$15:F24)-SUM($G$15:G24))</x:f>
      </x:c>
      <x:c r="I24" s="61"/>
      <x:c r="J24" s="61">
        <x:f t="shared" si="1"/>
      </x:c>
      <x:c r="K24" s="61"/>
      <x:c r="L24" s="52"/>
      <x:c r="M24" s="69"/>
      <x:c r="N24" s="69"/>
      <x:c r="O24">
        <x:f t="shared" si="2"/>
      </x:c>
      <x:c r="P24"/>
      <x:c r="Q24"/>
      <x:c r="R24"/>
      <x:c r="S24"/>
    </x:row>
    <x:row r="25" ht="22" customHeight="1">
      <x:c r="A25" s="63"/>
      <x:c r="B25" s="61"/>
      <x:c r="C25" s="61"/>
      <x:c r="D25" s="61"/>
      <x:c r="E25" s="61"/>
      <x:c r="F25" s="64">
        <x:f t="shared" si="0"/>
      </x:c>
      <x:c r="G25" s="64"/>
      <x:c r="H25" s="65" t="str">
        <x:f>IF(COUNTA(A25:G25)=0,"",$N$3+SUM($F$15:F25)-SUM($G$15:G25))</x:f>
      </x:c>
      <x:c r="I25" s="61"/>
      <x:c r="J25" s="61">
        <x:f t="shared" si="1"/>
      </x:c>
      <x:c r="K25" s="61"/>
      <x:c r="L25" s="52"/>
      <x:c r="M25" s="52"/>
      <x:c r="N25" s="52"/>
      <x:c r="O25">
        <x:f t="shared" si="2"/>
      </x:c>
      <x:c r="P25"/>
      <x:c r="Q25"/>
      <x:c r="R25"/>
      <x:c r="S25"/>
    </x:row>
    <x:row r="26" ht="22" customHeight="1">
      <x:c r="A26" s="63"/>
      <x:c r="B26" s="61"/>
      <x:c r="C26" s="61"/>
      <x:c r="D26" s="61"/>
      <x:c r="E26" s="61"/>
      <x:c r="F26" s="64">
        <x:f t="shared" si="0"/>
      </x:c>
      <x:c r="G26" s="64"/>
      <x:c r="H26" s="65" t="str">
        <x:f>IF(COUNTA(A26:G26)=0,"",$N$3+SUM($F$15:F26)-SUM($G$15:G26))</x:f>
      </x:c>
      <x:c r="I26" s="61"/>
      <x:c r="J26" s="61">
        <x:f t="shared" si="1"/>
      </x:c>
      <x:c r="K26" s="61"/>
      <x:c r="L26" s="52"/>
      <x:c r="M26" s="52"/>
      <x:c r="N26" s="52"/>
      <x:c r="O26">
        <x:f t="shared" si="2"/>
      </x:c>
      <x:c r="P26"/>
      <x:c r="Q26"/>
      <x:c r="R26"/>
      <x:c r="S26"/>
    </x:row>
    <x:row r="27" ht="22" customHeight="1">
      <x:c r="A27" s="63"/>
      <x:c r="B27" s="61"/>
      <x:c r="C27" s="61"/>
      <x:c r="D27" s="61"/>
      <x:c r="E27" s="61"/>
      <x:c r="F27" s="64">
        <x:f t="shared" si="0"/>
      </x:c>
      <x:c r="G27" s="64"/>
      <x:c r="H27" s="65" t="str">
        <x:f>IF(COUNTA(A27:G27)=0,"",$N$3+SUM($F$15:F27)-SUM($G$15:G27))</x:f>
      </x:c>
      <x:c r="I27" s="61"/>
      <x:c r="J27" s="61">
        <x:f t="shared" si="1"/>
      </x:c>
      <x:c r="K27" s="61"/>
      <x:c r="L27" s="52"/>
      <x:c r="M27" s="52"/>
      <x:c r="N27" s="52"/>
      <x:c r="O27">
        <x:f t="shared" si="2"/>
      </x:c>
      <x:c r="P27"/>
      <x:c r="Q27"/>
      <x:c r="R27"/>
      <x:c r="S27"/>
    </x:row>
    <x:row r="28" ht="22" customHeight="1">
      <x:c r="A28" s="63"/>
      <x:c r="B28" s="61"/>
      <x:c r="C28" s="61"/>
      <x:c r="D28" s="61"/>
      <x:c r="E28" s="61"/>
      <x:c r="F28" s="64">
        <x:f t="shared" si="0"/>
      </x:c>
      <x:c r="G28" s="64"/>
      <x:c r="H28" s="65" t="str">
        <x:f>IF(COUNTA(A28:G28)=0,"",$N$3+SUM($F$15:F28)-SUM($G$15:G28))</x:f>
      </x:c>
      <x:c r="I28" s="61"/>
      <x:c r="J28" s="61">
        <x:f t="shared" si="1"/>
      </x:c>
      <x:c r="K28" s="61"/>
      <x:c r="L28" s="52"/>
      <x:c r="M28" s="52"/>
      <x:c r="N28" s="52"/>
      <x:c r="O28">
        <x:f t="shared" si="2"/>
      </x:c>
      <x:c r="P28"/>
      <x:c r="Q28"/>
      <x:c r="R28"/>
      <x:c r="S28"/>
    </x:row>
    <x:row r="29" ht="22" customHeight="1">
      <x:c r="A29" s="63"/>
      <x:c r="B29" s="61"/>
      <x:c r="C29" s="61"/>
      <x:c r="D29" s="61"/>
      <x:c r="E29" s="61"/>
      <x:c r="F29" s="64">
        <x:f t="shared" si="0"/>
      </x:c>
      <x:c r="G29" s="64"/>
      <x:c r="H29" s="65" t="str">
        <x:f>IF(COUNTA(A29:G29)=0,"",$N$3+SUM($F$15:F29)-SUM($G$15:G29))</x:f>
      </x:c>
      <x:c r="I29" s="61"/>
      <x:c r="J29" s="61">
        <x:f t="shared" si="1"/>
      </x:c>
      <x:c r="K29" s="61"/>
      <x:c r="L29" s="52"/>
      <x:c r="M29" s="52"/>
      <x:c r="N29" s="52"/>
      <x:c r="O29">
        <x:f t="shared" si="2"/>
      </x:c>
      <x:c r="P29"/>
      <x:c r="Q29"/>
      <x:c r="R29"/>
      <x:c r="S29"/>
    </x:row>
    <x:row r="30" ht="22" customHeight="1">
      <x:c r="A30" s="63"/>
      <x:c r="B30" s="61"/>
      <x:c r="C30" s="61"/>
      <x:c r="D30" s="61"/>
      <x:c r="E30" s="61"/>
      <x:c r="F30" s="64">
        <x:f t="shared" si="0"/>
      </x:c>
      <x:c r="G30" s="64"/>
      <x:c r="H30" s="65" t="str">
        <x:f>IF(COUNTA(A30:G30)=0,"",$N$3+SUM($F$15:F30)-SUM($G$15:G30))</x:f>
      </x:c>
      <x:c r="I30" s="61"/>
      <x:c r="J30" s="61">
        <x:f t="shared" si="1"/>
      </x:c>
      <x:c r="K30" s="61"/>
      <x:c r="L30" s="52"/>
      <x:c r="M30" s="52"/>
      <x:c r="N30" s="52"/>
      <x:c r="O30">
        <x:f t="shared" si="2"/>
      </x:c>
      <x:c r="P30"/>
      <x:c r="Q30"/>
      <x:c r="R30"/>
      <x:c r="S30"/>
    </x:row>
    <x:row r="31" ht="22" customHeight="1">
      <x:c r="A31" s="63"/>
      <x:c r="B31" s="61"/>
      <x:c r="C31" s="61"/>
      <x:c r="D31" s="61"/>
      <x:c r="E31" s="61"/>
      <x:c r="F31" s="64">
        <x:f t="shared" si="0"/>
      </x:c>
      <x:c r="G31" s="64"/>
      <x:c r="H31" s="65" t="str">
        <x:f>IF(COUNTA(A31:G31)=0,"",$N$3+SUM($F$15:F31)-SUM($G$15:G31))</x:f>
      </x:c>
      <x:c r="I31" s="61"/>
      <x:c r="J31" s="61">
        <x:f t="shared" si="1"/>
      </x:c>
      <x:c r="K31" s="61"/>
      <x:c r="L31" s="52"/>
      <x:c r="M31" s="52"/>
      <x:c r="N31" s="52"/>
      <x:c r="O31">
        <x:f t="shared" si="2"/>
      </x:c>
      <x:c r="P31"/>
      <x:c r="Q31"/>
      <x:c r="R31"/>
      <x:c r="S31"/>
    </x:row>
    <x:row r="32" ht="22" customHeight="1">
      <x:c r="A32" s="63"/>
      <x:c r="B32" s="61"/>
      <x:c r="C32" s="61"/>
      <x:c r="D32" s="61"/>
      <x:c r="E32" s="61"/>
      <x:c r="F32" s="64">
        <x:f t="shared" si="0"/>
      </x:c>
      <x:c r="G32" s="64"/>
      <x:c r="H32" s="65" t="str">
        <x:f>IF(COUNTA(A32:G32)=0,"",$N$3+SUM($F$15:F32)-SUM($G$15:G32))</x:f>
      </x:c>
      <x:c r="I32" s="61"/>
      <x:c r="J32" s="61">
        <x:f t="shared" si="1"/>
      </x:c>
      <x:c r="K32" s="61"/>
      <x:c r="L32" s="52"/>
      <x:c r="M32" s="52"/>
      <x:c r="N32" s="52"/>
      <x:c r="O32">
        <x:f t="shared" si="2"/>
      </x:c>
      <x:c r="P32"/>
      <x:c r="Q32"/>
      <x:c r="R32"/>
      <x:c r="S32"/>
    </x:row>
    <x:row r="33" ht="22" customHeight="1">
      <x:c r="A33" s="63"/>
      <x:c r="B33" s="61"/>
      <x:c r="C33" s="61"/>
      <x:c r="D33" s="61"/>
      <x:c r="E33" s="61"/>
      <x:c r="F33" s="64">
        <x:f t="shared" si="0"/>
      </x:c>
      <x:c r="G33" s="64"/>
      <x:c r="H33" s="65" t="str">
        <x:f>IF(COUNTA(A33:G33)=0,"",$N$3+SUM($F$15:F33)-SUM($G$15:G33))</x:f>
      </x:c>
      <x:c r="I33" s="61"/>
      <x:c r="J33" s="61">
        <x:f t="shared" si="1"/>
      </x:c>
      <x:c r="K33" s="61"/>
      <x:c r="L33" s="52"/>
      <x:c r="M33" s="52"/>
      <x:c r="N33" s="52"/>
      <x:c r="O33">
        <x:f t="shared" si="2"/>
      </x:c>
      <x:c r="P33"/>
      <x:c r="Q33"/>
      <x:c r="R33"/>
      <x:c r="S33"/>
    </x:row>
    <x:row r="34" ht="22" customHeight="1">
      <x:c r="A34" s="63"/>
      <x:c r="B34" s="61"/>
      <x:c r="C34" s="61"/>
      <x:c r="D34" s="61"/>
      <x:c r="E34" s="61"/>
      <x:c r="F34" s="64">
        <x:f t="shared" si="0"/>
      </x:c>
      <x:c r="G34" s="64"/>
      <x:c r="H34" s="65" t="str">
        <x:f>IF(COUNTA(A34:G34)=0,"",$N$3+SUM($F$15:F34)-SUM($G$15:G34))</x:f>
      </x:c>
      <x:c r="I34" s="61"/>
      <x:c r="J34" s="61">
        <x:f t="shared" si="1"/>
      </x:c>
      <x:c r="K34" s="61"/>
      <x:c r="L34" s="52"/>
      <x:c r="M34" s="52"/>
      <x:c r="N34" s="52"/>
      <x:c r="O34">
        <x:f t="shared" si="2"/>
      </x:c>
      <x:c r="P34"/>
      <x:c r="Q34"/>
      <x:c r="R34"/>
      <x:c r="S34"/>
    </x:row>
    <x:row r="35" ht="22" customHeight="1">
      <x:c r="A35" s="63"/>
      <x:c r="B35" s="61"/>
      <x:c r="C35" s="61"/>
      <x:c r="D35" s="61"/>
      <x:c r="E35" s="61"/>
      <x:c r="F35" s="64">
        <x:f t="shared" si="0"/>
      </x:c>
      <x:c r="G35" s="64"/>
      <x:c r="H35" s="65" t="str">
        <x:f>IF(COUNTA(A35:G35)=0,"",$N$3+SUM($F$15:F35)-SUM($G$15:G35))</x:f>
      </x:c>
      <x:c r="I35" s="61"/>
      <x:c r="J35" s="61">
        <x:f t="shared" si="1"/>
      </x:c>
      <x:c r="K35" s="61"/>
      <x:c r="L35" s="52"/>
      <x:c r="M35" s="52"/>
      <x:c r="N35" s="52"/>
      <x:c r="O35">
        <x:f t="shared" si="2"/>
      </x:c>
      <x:c r="P35"/>
      <x:c r="Q35"/>
      <x:c r="R35"/>
      <x:c r="S35"/>
    </x:row>
    <x:row r="36" ht="22" customHeight="1">
      <x:c r="A36" s="63"/>
      <x:c r="B36" s="61"/>
      <x:c r="C36" s="61"/>
      <x:c r="D36" s="61"/>
      <x:c r="E36" s="61"/>
      <x:c r="F36" s="64">
        <x:f t="shared" si="0"/>
      </x:c>
      <x:c r="G36" s="64"/>
      <x:c r="H36" s="65" t="str">
        <x:f>IF(COUNTA(A36:G36)=0,"",$N$3+SUM($F$15:F36)-SUM($G$15:G36))</x:f>
      </x:c>
      <x:c r="I36" s="61"/>
      <x:c r="J36" s="61">
        <x:f t="shared" si="1"/>
      </x:c>
      <x:c r="K36" s="61"/>
      <x:c r="L36" s="52"/>
      <x:c r="M36" s="52"/>
      <x:c r="N36" s="52"/>
      <x:c r="O36">
        <x:f t="shared" si="2"/>
      </x:c>
      <x:c r="P36"/>
      <x:c r="Q36"/>
      <x:c r="R36"/>
      <x:c r="S36"/>
    </x:row>
    <x:row r="37" ht="22" customHeight="1">
      <x:c r="A37" s="63"/>
      <x:c r="B37" s="61"/>
      <x:c r="C37" s="61"/>
      <x:c r="D37" s="61"/>
      <x:c r="E37" s="61"/>
      <x:c r="F37" s="64">
        <x:f t="shared" si="0"/>
      </x:c>
      <x:c r="G37" s="64"/>
      <x:c r="H37" s="65" t="str">
        <x:f>IF(COUNTA(A37:G37)=0,"",$N$3+SUM($F$15:F37)-SUM($G$15:G37))</x:f>
      </x:c>
      <x:c r="I37" s="61"/>
      <x:c r="J37" s="61">
        <x:f t="shared" si="1"/>
      </x:c>
      <x:c r="K37" s="61"/>
      <x:c r="L37" s="52"/>
      <x:c r="M37" s="52"/>
      <x:c r="N37" s="52"/>
      <x:c r="O37">
        <x:f t="shared" si="2"/>
      </x:c>
      <x:c r="P37"/>
      <x:c r="Q37"/>
      <x:c r="R37"/>
      <x:c r="S37"/>
    </x:row>
    <x:row r="38" ht="22" customHeight="1">
      <x:c r="A38" s="63"/>
      <x:c r="B38" s="61"/>
      <x:c r="C38" s="61"/>
      <x:c r="D38" s="61"/>
      <x:c r="E38" s="61"/>
      <x:c r="F38" s="64">
        <x:f t="shared" si="0"/>
      </x:c>
      <x:c r="G38" s="64"/>
      <x:c r="H38" s="65" t="str">
        <x:f>IF(COUNTA(A38:G38)=0,"",$N$3+SUM($F$15:F38)-SUM($G$15:G38))</x:f>
      </x:c>
      <x:c r="I38" s="61"/>
      <x:c r="J38" s="61">
        <x:f t="shared" si="1"/>
      </x:c>
      <x:c r="K38" s="61"/>
      <x:c r="L38" s="52"/>
      <x:c r="M38" s="52"/>
      <x:c r="N38" s="52"/>
      <x:c r="O38">
        <x:f t="shared" si="2"/>
      </x:c>
      <x:c r="P38"/>
      <x:c r="Q38"/>
      <x:c r="R38"/>
      <x:c r="S38"/>
    </x:row>
    <x:row r="39" ht="22" customHeight="1">
      <x:c r="A39" s="63"/>
      <x:c r="B39" s="61"/>
      <x:c r="C39" s="61"/>
      <x:c r="D39" s="61"/>
      <x:c r="E39" s="61"/>
      <x:c r="F39" s="64">
        <x:f t="shared" si="0"/>
      </x:c>
      <x:c r="G39" s="64"/>
      <x:c r="H39" s="65" t="str">
        <x:f>IF(COUNTA(A39:G39)=0,"",$N$3+SUM($F$15:F39)-SUM($G$15:G39))</x:f>
      </x:c>
      <x:c r="I39" s="61"/>
      <x:c r="J39" s="61">
        <x:f t="shared" si="1"/>
      </x:c>
      <x:c r="K39" s="61"/>
      <x:c r="L39" s="52"/>
      <x:c r="M39" s="52"/>
      <x:c r="N39" s="52"/>
      <x:c r="O39">
        <x:f t="shared" si="2"/>
      </x:c>
      <x:c r="P39"/>
      <x:c r="Q39"/>
      <x:c r="R39"/>
      <x:c r="S39"/>
    </x:row>
    <x:row r="40" ht="22" customHeight="1">
      <x:c r="A40" s="63"/>
      <x:c r="B40" s="61"/>
      <x:c r="C40" s="61"/>
      <x:c r="D40" s="61"/>
      <x:c r="E40" s="61"/>
      <x:c r="F40" s="64"/>
      <x:c r="G40" s="64"/>
      <x:c r="H40" s="65" t="str">
        <x:f>IF(COUNTA(A40:G40)=0,"",$N$3+SUM($F$15:F40)-SUM($G$15:G40))</x:f>
      </x:c>
      <x:c r="I40" s="61"/>
      <x:c r="J40" s="61"/>
      <x:c r="K40" s="61"/>
      <x:c r="L40" s="52"/>
      <x:c r="M40" s="52"/>
      <x:c r="N40" s="52"/>
    </x:row>
    <x:row r="41" ht="22" customHeight="1">
      <x:c r="A41" s="63"/>
      <x:c r="B41" s="61"/>
      <x:c r="C41" s="61"/>
      <x:c r="D41" s="61"/>
      <x:c r="E41" s="61"/>
      <x:c r="F41" s="64"/>
      <x:c r="G41" s="64"/>
      <x:c r="H41" s="65" t="str">
        <x:f>IF(COUNTA(A41:G41)=0,"",$N$3+SUM($F$15:F41)-SUM($G$15:G41))</x:f>
      </x:c>
      <x:c r="I41" s="61"/>
      <x:c r="J41" s="61"/>
      <x:c r="K41" s="61"/>
      <x:c r="L41" s="52"/>
      <x:c r="M41" s="52"/>
      <x:c r="N41" s="52"/>
    </x:row>
    <x:row r="42" ht="22" customHeight="1">
      <x:c r="A42" s="63"/>
      <x:c r="B42" s="61"/>
      <x:c r="C42" s="61"/>
      <x:c r="D42" s="61"/>
      <x:c r="E42" s="61"/>
      <x:c r="F42" s="64"/>
      <x:c r="G42" s="64"/>
      <x:c r="H42" s="65" t="str">
        <x:f>IF(COUNTA(A42:G42)=0,"",$N$3+SUM($F$15:F42)-SUM($G$15:G42))</x:f>
      </x:c>
      <x:c r="I42" s="61"/>
      <x:c r="J42" s="61"/>
      <x:c r="K42" s="61"/>
      <x:c r="L42" s="52"/>
      <x:c r="M42" s="52"/>
      <x:c r="N42" s="52"/>
    </x:row>
    <x:row r="43" ht="22" customHeight="1">
      <x:c r="A43" s="63"/>
      <x:c r="B43" s="61"/>
      <x:c r="C43" s="61"/>
      <x:c r="D43" s="61"/>
      <x:c r="E43" s="61"/>
      <x:c r="F43" s="64"/>
      <x:c r="G43" s="64"/>
      <x:c r="H43" s="65" t="str">
        <x:f>IF(COUNTA(A43:G43)=0,"",$N$3+SUM($F$15:F43)-SUM($G$15:G43))</x:f>
      </x:c>
      <x:c r="I43" s="61"/>
      <x:c r="J43" s="61"/>
      <x:c r="K43" s="61"/>
      <x:c r="L43" s="52"/>
      <x:c r="M43" s="52"/>
      <x:c r="N43" s="52"/>
    </x:row>
    <x:row r="44" ht="22" customHeight="1">
      <x:c r="A44" s="63"/>
      <x:c r="B44" s="61"/>
      <x:c r="C44" s="61"/>
      <x:c r="D44" s="61"/>
      <x:c r="E44" s="61"/>
      <x:c r="F44" s="64"/>
      <x:c r="G44" s="64"/>
      <x:c r="H44" s="65" t="str">
        <x:f>IF(COUNTA(A44:G44)=0,"",$N$3+SUM($F$15:F44)-SUM($G$15:G44))</x:f>
      </x:c>
      <x:c r="I44" s="61"/>
      <x:c r="J44" s="61"/>
      <x:c r="K44" s="61"/>
      <x:c r="L44" s="52"/>
      <x:c r="M44" s="52"/>
      <x:c r="N44" s="52"/>
    </x:row>
    <x:row r="45" ht="22" customHeight="1">
      <x:c r="A45" s="63"/>
      <x:c r="B45" s="61"/>
      <x:c r="C45" s="61"/>
      <x:c r="D45" s="61"/>
      <x:c r="E45" s="61"/>
      <x:c r="F45" s="64"/>
      <x:c r="G45" s="64"/>
      <x:c r="H45" s="65" t="str">
        <x:f>IF(COUNTA(A45:G45)=0,"",$N$3+SUM($F$15:F45)-SUM($G$15:G45))</x:f>
      </x:c>
      <x:c r="I45" s="61"/>
      <x:c r="J45" s="61"/>
      <x:c r="K45" s="61"/>
      <x:c r="L45" s="52"/>
      <x:c r="M45" s="52"/>
      <x:c r="N45" s="52"/>
    </x:row>
    <x:row r="46" ht="22" customHeight="1">
      <x:c r="A46" s="63"/>
      <x:c r="B46" s="61"/>
      <x:c r="C46" s="61"/>
      <x:c r="D46" s="61"/>
      <x:c r="E46" s="61"/>
      <x:c r="F46" s="64"/>
      <x:c r="G46" s="64"/>
      <x:c r="H46" s="65" t="str">
        <x:f>IF(COUNTA(A46:G46)=0,"",$N$3+SUM($F$15:F46)-SUM($G$15:G46))</x:f>
      </x:c>
      <x:c r="I46" s="61"/>
      <x:c r="J46" s="61"/>
      <x:c r="K46" s="61"/>
      <x:c r="L46" s="52"/>
      <x:c r="M46" s="52"/>
      <x:c r="N46" s="52"/>
    </x:row>
    <x:row r="47" ht="22" customHeight="1">
      <x:c r="A47" s="63"/>
      <x:c r="B47" s="61"/>
      <x:c r="C47" s="61"/>
      <x:c r="D47" s="61"/>
      <x:c r="E47" s="61"/>
      <x:c r="F47" s="64"/>
      <x:c r="G47" s="64"/>
      <x:c r="H47" s="65" t="str">
        <x:f>IF(COUNTA(A47:G47)=0,"",$N$3+SUM($F$15:F47)-SUM($G$15:G47))</x:f>
      </x:c>
      <x:c r="I47" s="61"/>
      <x:c r="J47" s="61"/>
      <x:c r="K47" s="61"/>
      <x:c r="L47" s="52"/>
      <x:c r="M47" s="52"/>
      <x:c r="N47" s="52"/>
    </x:row>
    <x:row r="48" ht="22" customHeight="1">
      <x:c r="A48" s="63"/>
      <x:c r="B48" s="61"/>
      <x:c r="C48" s="61"/>
      <x:c r="D48" s="61"/>
      <x:c r="E48" s="61"/>
      <x:c r="F48" s="64"/>
      <x:c r="G48" s="64"/>
      <x:c r="H48" s="65" t="str">
        <x:f>IF(COUNTA(A48:G48)=0,"",$N$3+SUM($F$15:F48)-SUM($G$15:G48))</x:f>
      </x:c>
      <x:c r="I48" s="61"/>
      <x:c r="J48" s="61"/>
      <x:c r="K48" s="61"/>
      <x:c r="L48" s="52"/>
      <x:c r="M48" s="52"/>
      <x:c r="N48" s="52"/>
    </x:row>
    <x:row r="49" ht="22" customHeight="1">
      <x:c r="A49" s="63"/>
      <x:c r="B49" s="61"/>
      <x:c r="C49" s="61"/>
      <x:c r="D49" s="61"/>
      <x:c r="E49" s="61"/>
      <x:c r="F49" s="64"/>
      <x:c r="G49" s="64"/>
      <x:c r="H49" s="65" t="str">
        <x:f>IF(COUNTA(A49:G49)=0,"",$N$3+SUM($F$15:F49)-SUM($G$15:G49))</x:f>
      </x:c>
      <x:c r="I49" s="61"/>
      <x:c r="J49" s="61"/>
      <x:c r="K49" s="61"/>
      <x:c r="L49" s="52"/>
      <x:c r="M49" s="52"/>
      <x:c r="N49" s="52"/>
    </x:row>
    <x:row r="50" ht="22" customHeight="1">
      <x:c r="A50" s="63"/>
      <x:c r="B50" s="61"/>
      <x:c r="C50" s="61"/>
      <x:c r="D50" s="61"/>
      <x:c r="E50" s="61"/>
      <x:c r="F50" s="64"/>
      <x:c r="G50" s="64"/>
      <x:c r="H50" s="65" t="str">
        <x:f>IF(COUNTA(A50:G50)=0,"",$N$3+SUM($F$15:F50)-SUM($G$15:G50))</x:f>
      </x:c>
      <x:c r="I50" s="61"/>
      <x:c r="J50" s="61"/>
      <x:c r="K50" s="61"/>
      <x:c r="L50" s="52"/>
      <x:c r="M50" s="52"/>
      <x:c r="N50" s="52"/>
    </x:row>
    <x:row r="51" ht="22" customHeight="1">
      <x:c r="A51" s="63"/>
      <x:c r="B51" s="61"/>
      <x:c r="C51" s="61"/>
      <x:c r="D51" s="61"/>
      <x:c r="E51" s="61"/>
      <x:c r="F51" s="64"/>
      <x:c r="G51" s="64"/>
      <x:c r="H51" s="65" t="str">
        <x:f>IF(COUNTA(A51:G51)=0,"",$N$3+SUM($F$15:F51)-SUM($G$15:G51))</x:f>
      </x:c>
      <x:c r="I51" s="61"/>
      <x:c r="J51" s="61"/>
      <x:c r="K51" s="61"/>
      <x:c r="L51" s="52"/>
      <x:c r="M51" s="52"/>
      <x:c r="N51" s="52"/>
    </x:row>
    <x:row r="52" ht="22" customHeight="1">
      <x:c r="A52" s="63"/>
      <x:c r="B52" s="61"/>
      <x:c r="C52" s="61"/>
      <x:c r="D52" s="61"/>
      <x:c r="E52" s="61"/>
      <x:c r="F52" s="64"/>
      <x:c r="G52" s="64"/>
      <x:c r="H52" s="65" t="str">
        <x:f>IF(COUNTA(A52:G52)=0,"",$N$3+SUM($F$15:F52)-SUM($G$15:G52))</x:f>
      </x:c>
      <x:c r="I52" s="61"/>
      <x:c r="J52" s="61"/>
      <x:c r="K52" s="61"/>
      <x:c r="L52" s="52"/>
      <x:c r="M52" s="52"/>
      <x:c r="N52" s="52"/>
    </x:row>
    <x:row r="53" ht="22" customHeight="1">
      <x:c r="A53" s="63"/>
      <x:c r="B53" s="61"/>
      <x:c r="C53" s="61"/>
      <x:c r="D53" s="61"/>
      <x:c r="E53" s="61"/>
      <x:c r="F53" s="64"/>
      <x:c r="G53" s="64"/>
      <x:c r="H53" s="65" t="str">
        <x:f>IF(COUNTA(A53:G53)=0,"",$N$3+SUM($F$15:F53)-SUM($G$15:G53))</x:f>
      </x:c>
      <x:c r="I53" s="61"/>
      <x:c r="J53" s="61"/>
      <x:c r="K53" s="61"/>
      <x:c r="L53" s="52"/>
      <x:c r="M53" s="52"/>
      <x:c r="N53" s="52"/>
    </x:row>
    <x:row r="54" ht="22" customHeight="1">
      <x:c r="A54" s="63"/>
      <x:c r="B54" s="61"/>
      <x:c r="C54" s="61"/>
      <x:c r="D54" s="61"/>
      <x:c r="E54" s="61"/>
      <x:c r="F54" s="64"/>
      <x:c r="G54" s="64"/>
      <x:c r="H54" s="65" t="str">
        <x:f>IF(COUNTA(A54:G54)=0,"",$N$3+SUM($F$15:F54)-SUM($G$15:G54))</x:f>
      </x:c>
      <x:c r="I54" s="61"/>
      <x:c r="J54" s="61"/>
      <x:c r="K54" s="61"/>
      <x:c r="L54" s="52"/>
      <x:c r="M54" s="52"/>
      <x:c r="N54" s="52"/>
    </x:row>
    <x:row r="55" ht="22" customHeight="1">
      <x:c r="A55" s="63"/>
      <x:c r="B55" s="61"/>
      <x:c r="C55" s="61"/>
      <x:c r="D55" s="61"/>
      <x:c r="E55" s="61"/>
      <x:c r="F55" s="64"/>
      <x:c r="G55" s="64"/>
      <x:c r="H55" s="65" t="str">
        <x:f>IF(COUNTA(A55:G55)=0,"",$N$3+SUM($F$15:F55)-SUM($G$15:G55))</x:f>
      </x:c>
      <x:c r="I55" s="61"/>
      <x:c r="J55" s="61"/>
      <x:c r="K55" s="61"/>
      <x:c r="L55" s="52"/>
      <x:c r="M55" s="52"/>
      <x:c r="N55" s="52"/>
    </x:row>
    <x:row r="56" ht="22" customHeight="1">
      <x:c r="A56" s="63"/>
      <x:c r="B56" s="61"/>
      <x:c r="C56" s="61"/>
      <x:c r="D56" s="61"/>
      <x:c r="E56" s="61"/>
      <x:c r="F56" s="64"/>
      <x:c r="G56" s="64"/>
      <x:c r="H56" s="65" t="str">
        <x:f>IF(COUNTA(A56:G56)=0,"",$N$3+SUM($F$15:F56)-SUM($G$15:G56))</x:f>
      </x:c>
      <x:c r="I56" s="61"/>
      <x:c r="J56" s="61"/>
      <x:c r="K56" s="61"/>
      <x:c r="L56" s="52"/>
      <x:c r="M56" s="52"/>
      <x:c r="N56" s="52"/>
    </x:row>
    <x:row r="57" ht="22" customHeight="1">
      <x:c r="A57" s="63"/>
      <x:c r="B57" s="61"/>
      <x:c r="C57" s="61"/>
      <x:c r="D57" s="61"/>
      <x:c r="E57" s="61"/>
      <x:c r="F57" s="64"/>
      <x:c r="G57" s="64"/>
      <x:c r="H57" s="65" t="str">
        <x:f>IF(COUNTA(A57:G57)=0,"",$N$3+SUM($F$15:F57)-SUM($G$15:G57))</x:f>
      </x:c>
      <x:c r="I57" s="61"/>
      <x:c r="J57" s="61"/>
      <x:c r="K57" s="61"/>
      <x:c r="L57" s="52"/>
      <x:c r="M57" s="52"/>
      <x:c r="N57" s="52"/>
    </x:row>
    <x:row r="58" ht="22" customHeight="1">
      <x:c r="A58" s="63"/>
      <x:c r="B58" s="61"/>
      <x:c r="C58" s="61"/>
      <x:c r="D58" s="61"/>
      <x:c r="E58" s="61"/>
      <x:c r="F58" s="64"/>
      <x:c r="G58" s="64"/>
      <x:c r="H58" s="65" t="str">
        <x:f>IF(COUNTA(A58:G58)=0,"",$N$3+SUM($F$15:F58)-SUM($G$15:G58))</x:f>
      </x:c>
      <x:c r="I58" s="61"/>
      <x:c r="J58" s="61"/>
      <x:c r="K58" s="61"/>
      <x:c r="L58" s="52"/>
      <x:c r="M58" s="52"/>
      <x:c r="N58" s="52"/>
    </x:row>
    <x:row r="59" ht="22" customHeight="1">
      <x:c r="A59" s="63"/>
      <x:c r="B59" s="61"/>
      <x:c r="C59" s="61"/>
      <x:c r="D59" s="61"/>
      <x:c r="E59" s="61"/>
      <x:c r="F59" s="64"/>
      <x:c r="G59" s="64"/>
      <x:c r="H59" s="65" t="str">
        <x:f>IF(COUNTA(A59:G59)=0,"",$N$3+SUM($F$15:F59)-SUM($G$15:G59))</x:f>
      </x:c>
      <x:c r="I59" s="61"/>
      <x:c r="J59" s="61"/>
      <x:c r="K59" s="61"/>
      <x:c r="L59" s="52"/>
      <x:c r="M59" s="52"/>
      <x:c r="N59" s="52"/>
    </x:row>
    <x:row r="60" ht="22" customHeight="1">
      <x:c r="A60" s="63"/>
      <x:c r="B60" s="61"/>
      <x:c r="C60" s="61"/>
      <x:c r="D60" s="61"/>
      <x:c r="E60" s="61"/>
      <x:c r="F60" s="64"/>
      <x:c r="G60" s="64"/>
      <x:c r="H60" s="65" t="str">
        <x:f>IF(COUNTA(A60:G60)=0,"",$N$3+SUM($F$15:F60)-SUM($G$15:G60))</x:f>
      </x:c>
      <x:c r="I60" s="61"/>
      <x:c r="J60" s="61"/>
      <x:c r="K60" s="61"/>
      <x:c r="L60" s="52"/>
      <x:c r="M60" s="52"/>
      <x:c r="N60" s="52"/>
    </x:row>
    <x:row r="61" ht="22" customHeight="1">
      <x:c r="A61" s="63"/>
      <x:c r="B61" s="61"/>
      <x:c r="C61" s="61"/>
      <x:c r="D61" s="61"/>
      <x:c r="E61" s="61"/>
      <x:c r="F61" s="64"/>
      <x:c r="G61" s="64"/>
      <x:c r="H61" s="65" t="str">
        <x:f>IF(COUNTA(A61:G61)=0,"",$N$3+SUM($F$15:F61)-SUM($G$15:G61))</x:f>
      </x:c>
      <x:c r="I61" s="61"/>
      <x:c r="J61" s="61"/>
      <x:c r="K61" s="61"/>
      <x:c r="L61" s="52"/>
      <x:c r="M61" s="52"/>
      <x:c r="N61" s="52"/>
    </x:row>
    <x:row r="62" ht="22" customHeight="1">
      <x:c r="A62" s="63"/>
      <x:c r="B62" s="61"/>
      <x:c r="C62" s="61"/>
      <x:c r="D62" s="61"/>
      <x:c r="E62" s="61"/>
      <x:c r="F62" s="64"/>
      <x:c r="G62" s="64"/>
      <x:c r="H62" s="65" t="str">
        <x:f>IF(COUNTA(A62:G62)=0,"",$N$3+SUM($F$15:F62)-SUM($G$15:G62))</x:f>
      </x:c>
      <x:c r="I62" s="61"/>
      <x:c r="J62" s="61"/>
      <x:c r="K62" s="61"/>
      <x:c r="L62" s="52"/>
      <x:c r="M62" s="52"/>
      <x:c r="N62" s="52"/>
    </x:row>
    <x:row r="63" ht="22" customHeight="1">
      <x:c r="A63" s="63"/>
      <x:c r="B63" s="61"/>
      <x:c r="C63" s="61"/>
      <x:c r="D63" s="61"/>
      <x:c r="E63" s="61"/>
      <x:c r="F63" s="64"/>
      <x:c r="G63" s="64"/>
      <x:c r="H63" s="65" t="str">
        <x:f>IF(COUNTA(A63:G63)=0,"",$N$3+SUM($F$15:F63)-SUM($G$15:G63))</x:f>
      </x:c>
      <x:c r="I63" s="61"/>
      <x:c r="J63" s="61"/>
      <x:c r="K63" s="61"/>
      <x:c r="L63" s="52"/>
      <x:c r="M63" s="52"/>
      <x:c r="N63" s="52"/>
    </x:row>
    <x:row r="64" ht="22" customHeight="1">
      <x:c r="A64" s="63"/>
      <x:c r="B64" s="61"/>
      <x:c r="C64" s="61"/>
      <x:c r="D64" s="61"/>
      <x:c r="E64" s="61"/>
      <x:c r="F64" s="64"/>
      <x:c r="G64" s="64"/>
      <x:c r="H64" s="65" t="str">
        <x:f>IF(COUNTA(A64:G64)=0,"",$N$3+SUM($F$15:F64)-SUM($G$15:G64))</x:f>
      </x:c>
      <x:c r="I64" s="61"/>
      <x:c r="J64" s="61"/>
      <x:c r="K64" s="61"/>
      <x:c r="L64" s="52"/>
      <x:c r="M64" s="52"/>
      <x:c r="N64" s="52"/>
    </x:row>
    <x:row r="65" ht="22" customHeight="1">
      <x:c r="A65" s="63"/>
      <x:c r="B65" s="61"/>
      <x:c r="C65" s="61"/>
      <x:c r="D65" s="61"/>
      <x:c r="E65" s="61"/>
      <x:c r="F65" s="64"/>
      <x:c r="G65" s="64"/>
      <x:c r="H65" s="65" t="str">
        <x:f>IF(COUNTA(A65:G65)=0,"",$N$3+SUM($F$15:F65)-SUM($G$15:G65))</x:f>
      </x:c>
      <x:c r="I65" s="61"/>
      <x:c r="J65" s="61"/>
      <x:c r="K65" s="61"/>
      <x:c r="L65" s="52"/>
      <x:c r="M65" s="52"/>
      <x:c r="N65" s="52"/>
    </x:row>
    <x:row r="66" ht="22" customHeight="1">
      <x:c r="A66" s="63"/>
      <x:c r="B66" s="61"/>
      <x:c r="C66" s="61"/>
      <x:c r="D66" s="61"/>
      <x:c r="E66" s="61"/>
      <x:c r="F66" s="64"/>
      <x:c r="G66" s="64"/>
      <x:c r="H66" s="65" t="str">
        <x:f>IF(COUNTA(A66:G66)=0,"",$N$3+SUM($F$15:F66)-SUM($G$15:G66))</x:f>
      </x:c>
      <x:c r="I66" s="61"/>
      <x:c r="J66" s="61"/>
      <x:c r="K66" s="61"/>
      <x:c r="L66" s="52"/>
      <x:c r="M66" s="52"/>
      <x:c r="N66" s="52"/>
    </x:row>
    <x:row r="67" ht="22" customHeight="1">
      <x:c r="A67" s="63"/>
      <x:c r="B67" s="61"/>
      <x:c r="C67" s="61"/>
      <x:c r="D67" s="61"/>
      <x:c r="E67" s="61"/>
      <x:c r="F67" s="64"/>
      <x:c r="G67" s="64"/>
      <x:c r="H67" s="65" t="str">
        <x:f>IF(COUNTA(A67:G67)=0,"",$N$3+SUM($F$15:F67)-SUM($G$15:G67))</x:f>
      </x:c>
      <x:c r="I67" s="61"/>
      <x:c r="J67" s="61"/>
      <x:c r="K67" s="61"/>
      <x:c r="L67" s="52"/>
      <x:c r="M67" s="52"/>
      <x:c r="N67" s="52"/>
    </x:row>
    <x:row r="68" ht="22" customHeight="1">
      <x:c r="A68" s="63"/>
      <x:c r="B68" s="61"/>
      <x:c r="C68" s="61"/>
      <x:c r="D68" s="61"/>
      <x:c r="E68" s="61"/>
      <x:c r="F68" s="64"/>
      <x:c r="G68" s="64"/>
      <x:c r="H68" s="65" t="str">
        <x:f>IF(COUNTA(A68:G68)=0,"",$N$3+SUM($F$15:F68)-SUM($G$15:G68))</x:f>
      </x:c>
      <x:c r="I68" s="61"/>
      <x:c r="J68" s="61"/>
      <x:c r="K68" s="61"/>
      <x:c r="L68" s="52"/>
      <x:c r="M68" s="52"/>
      <x:c r="N68" s="52"/>
    </x:row>
    <x:row r="69" ht="22" customHeight="1">
      <x:c r="A69" s="63"/>
      <x:c r="B69" s="61"/>
      <x:c r="C69" s="61"/>
      <x:c r="D69" s="61"/>
      <x:c r="E69" s="61"/>
      <x:c r="F69" s="64"/>
      <x:c r="G69" s="64"/>
      <x:c r="H69" s="65" t="str">
        <x:f>IF(COUNTA(A69:G69)=0,"",$N$3+SUM($F$15:F69)-SUM($G$15:G69))</x:f>
      </x:c>
      <x:c r="I69" s="61"/>
      <x:c r="J69" s="61"/>
      <x:c r="K69" s="61"/>
      <x:c r="L69" s="52"/>
      <x:c r="M69" s="52"/>
      <x:c r="N69" s="52"/>
    </x:row>
    <x:row r="70" ht="22" customHeight="1">
      <x:c r="A70" s="63"/>
      <x:c r="B70" s="61"/>
      <x:c r="C70" s="61"/>
      <x:c r="D70" s="61"/>
      <x:c r="E70" s="61"/>
      <x:c r="F70" s="64"/>
      <x:c r="G70" s="64"/>
      <x:c r="H70" s="65" t="str">
        <x:f>IF(COUNTA(A70:G70)=0,"",$N$3+SUM($F$15:F70)-SUM($G$15:G70))</x:f>
      </x:c>
      <x:c r="I70" s="61"/>
      <x:c r="J70" s="61"/>
      <x:c r="K70" s="61"/>
      <x:c r="L70" s="52"/>
      <x:c r="M70" s="52"/>
      <x:c r="N70" s="52"/>
    </x:row>
    <x:row r="71" ht="22" customHeight="1">
      <x:c r="A71" s="63"/>
      <x:c r="B71" s="61"/>
      <x:c r="C71" s="61"/>
      <x:c r="D71" s="61"/>
      <x:c r="E71" s="61"/>
      <x:c r="F71" s="64"/>
      <x:c r="G71" s="64"/>
      <x:c r="H71" s="65" t="str">
        <x:f>IF(COUNTA(A71:G71)=0,"",$N$3+SUM($F$15:F71)-SUM($G$15:G71))</x:f>
      </x:c>
      <x:c r="I71" s="61"/>
      <x:c r="J71" s="61"/>
      <x:c r="K71" s="61"/>
      <x:c r="L71" s="52"/>
      <x:c r="M71" s="52"/>
      <x:c r="N71" s="52"/>
    </x:row>
    <x:row r="72" ht="22" customHeight="1">
      <x:c r="A72" s="63"/>
      <x:c r="B72" s="61"/>
      <x:c r="C72" s="61"/>
      <x:c r="D72" s="61"/>
      <x:c r="E72" s="61"/>
      <x:c r="F72" s="64"/>
      <x:c r="G72" s="64"/>
      <x:c r="H72" s="65" t="str">
        <x:f>IF(COUNTA(A72:G72)=0,"",$N$3+SUM($F$15:F72)-SUM($G$15:G72))</x:f>
      </x:c>
      <x:c r="I72" s="61"/>
      <x:c r="J72" s="61"/>
      <x:c r="K72" s="61"/>
      <x:c r="L72" s="52"/>
      <x:c r="M72" s="52"/>
      <x:c r="N72" s="52"/>
    </x:row>
    <x:row r="73" ht="22" customHeight="1">
      <x:c r="A73" s="63"/>
      <x:c r="B73" s="61"/>
      <x:c r="C73" s="61"/>
      <x:c r="D73" s="61"/>
      <x:c r="E73" s="61"/>
      <x:c r="F73" s="64"/>
      <x:c r="G73" s="64"/>
      <x:c r="H73" s="65" t="str">
        <x:f>IF(COUNTA(A73:G73)=0,"",$N$3+SUM($F$15:F73)-SUM($G$15:G73))</x:f>
      </x:c>
      <x:c r="I73" s="61"/>
      <x:c r="J73" s="61"/>
      <x:c r="K73" s="61"/>
      <x:c r="L73" s="52"/>
      <x:c r="M73" s="52"/>
      <x:c r="N73" s="52"/>
    </x:row>
    <x:row r="74" ht="22" customHeight="1">
      <x:c r="A74" s="63"/>
      <x:c r="B74" s="61"/>
      <x:c r="C74" s="61"/>
      <x:c r="D74" s="61"/>
      <x:c r="E74" s="61"/>
      <x:c r="F74" s="64"/>
      <x:c r="G74" s="64"/>
      <x:c r="H74" s="65" t="str">
        <x:f>IF(COUNTA(A74:G74)=0,"",$N$3+SUM($F$15:F74)-SUM($G$15:G74))</x:f>
      </x:c>
      <x:c r="I74" s="61"/>
      <x:c r="J74" s="61"/>
      <x:c r="K74" s="61"/>
      <x:c r="L74" s="52"/>
      <x:c r="M74" s="52"/>
      <x:c r="N74" s="52"/>
    </x:row>
    <x:row r="75" ht="22" customHeight="1">
      <x:c r="A75" s="63"/>
      <x:c r="B75" s="61"/>
      <x:c r="C75" s="61"/>
      <x:c r="D75" s="61"/>
      <x:c r="E75" s="61"/>
      <x:c r="F75" s="64"/>
      <x:c r="G75" s="64"/>
      <x:c r="H75" s="65" t="str">
        <x:f>IF(COUNTA(A75:G75)=0,"",$N$3+SUM($F$15:F75)-SUM($G$15:G75))</x:f>
      </x:c>
      <x:c r="I75" s="61"/>
      <x:c r="J75" s="61"/>
      <x:c r="K75" s="61"/>
      <x:c r="L75" s="52"/>
      <x:c r="M75" s="52"/>
      <x:c r="N75" s="52"/>
    </x:row>
    <x:row r="76" ht="22" customHeight="1">
      <x:c r="A76" s="63"/>
      <x:c r="B76" s="61"/>
      <x:c r="C76" s="61"/>
      <x:c r="D76" s="61"/>
      <x:c r="E76" s="61"/>
      <x:c r="F76" s="64"/>
      <x:c r="G76" s="64"/>
      <x:c r="H76" s="65" t="str">
        <x:f>IF(COUNTA(A76:G76)=0,"",$N$3+SUM($F$15:F76)-SUM($G$15:G76))</x:f>
      </x:c>
      <x:c r="I76" s="61"/>
      <x:c r="J76" s="61"/>
      <x:c r="K76" s="61"/>
      <x:c r="L76" s="52"/>
      <x:c r="M76" s="52"/>
      <x:c r="N76" s="52"/>
    </x:row>
    <x:row r="77" ht="22" customHeight="1">
      <x:c r="A77" s="63"/>
      <x:c r="B77" s="61"/>
      <x:c r="C77" s="61"/>
      <x:c r="D77" s="61"/>
      <x:c r="E77" s="61"/>
      <x:c r="F77" s="64"/>
      <x:c r="G77" s="64"/>
      <x:c r="H77" s="65" t="str">
        <x:f>IF(COUNTA(A77:G77)=0,"",$N$3+SUM($F$15:F77)-SUM($G$15:G77))</x:f>
      </x:c>
      <x:c r="I77" s="61"/>
      <x:c r="J77" s="61"/>
      <x:c r="K77" s="61"/>
      <x:c r="L77" s="52"/>
      <x:c r="M77" s="52"/>
      <x:c r="N77" s="52"/>
    </x:row>
    <x:row r="78" ht="22" customHeight="1">
      <x:c r="A78" s="63"/>
      <x:c r="B78" s="61"/>
      <x:c r="C78" s="61"/>
      <x:c r="D78" s="61"/>
      <x:c r="E78" s="61"/>
      <x:c r="F78" s="64"/>
      <x:c r="G78" s="64"/>
      <x:c r="H78" s="65" t="str">
        <x:f>IF(COUNTA(A78:G78)=0,"",$N$3+SUM($F$15:F78)-SUM($G$15:G78))</x:f>
      </x:c>
      <x:c r="I78" s="61"/>
      <x:c r="J78" s="61"/>
      <x:c r="K78" s="61"/>
      <x:c r="L78" s="52"/>
      <x:c r="M78" s="52"/>
      <x:c r="N78" s="52"/>
    </x:row>
    <x:row r="79" ht="22" customHeight="1">
      <x:c r="A79" s="63"/>
      <x:c r="B79" s="61"/>
      <x:c r="C79" s="61"/>
      <x:c r="D79" s="61"/>
      <x:c r="E79" s="61"/>
      <x:c r="F79" s="64"/>
      <x:c r="G79" s="64"/>
      <x:c r="H79" s="65" t="str">
        <x:f>IF(COUNTA(A79:G79)=0,"",$N$3+SUM($F$15:F79)-SUM($G$15:G79))</x:f>
      </x:c>
      <x:c r="I79" s="61"/>
      <x:c r="J79" s="61"/>
      <x:c r="K79" s="61"/>
      <x:c r="L79" s="52"/>
      <x:c r="M79" s="52"/>
      <x:c r="N79" s="52"/>
    </x:row>
    <x:row r="80" ht="22" customHeight="1">
      <x:c r="A80" s="63"/>
      <x:c r="B80" s="61"/>
      <x:c r="C80" s="61"/>
      <x:c r="D80" s="61"/>
      <x:c r="E80" s="61"/>
      <x:c r="F80" s="64"/>
      <x:c r="G80" s="64"/>
      <x:c r="H80" s="65" t="str">
        <x:f>IF(COUNTA(A80:G80)=0,"",$N$3+SUM($F$15:F80)-SUM($G$15:G80))</x:f>
      </x:c>
      <x:c r="I80" s="61"/>
      <x:c r="J80" s="61"/>
      <x:c r="K80" s="61"/>
      <x:c r="L80" s="52"/>
      <x:c r="M80" s="52"/>
      <x:c r="N80" s="52"/>
    </x:row>
    <x:row r="81" ht="22" customHeight="1">
      <x:c r="A81" s="63"/>
      <x:c r="B81" s="61"/>
      <x:c r="C81" s="61"/>
      <x:c r="D81" s="61"/>
      <x:c r="E81" s="61"/>
      <x:c r="F81" s="64"/>
      <x:c r="G81" s="64"/>
      <x:c r="H81" s="65" t="str">
        <x:f>IF(COUNTA(A81:G81)=0,"",$N$3+SUM($F$15:F81)-SUM($G$15:G81))</x:f>
      </x:c>
      <x:c r="I81" s="61"/>
      <x:c r="J81" s="61"/>
      <x:c r="K81" s="61"/>
      <x:c r="L81" s="52"/>
      <x:c r="M81" s="52"/>
      <x:c r="N81" s="52"/>
    </x:row>
    <x:row r="82" ht="22" customHeight="1">
      <x:c r="A82" s="63"/>
      <x:c r="B82" s="61"/>
      <x:c r="C82" s="61"/>
      <x:c r="D82" s="61"/>
      <x:c r="E82" s="61"/>
      <x:c r="F82" s="64"/>
      <x:c r="G82" s="64"/>
      <x:c r="H82" s="65" t="str">
        <x:f>IF(COUNTA(A82:G82)=0,"",$N$3+SUM($F$15:F82)-SUM($G$15:G82))</x:f>
      </x:c>
      <x:c r="I82" s="61"/>
      <x:c r="J82" s="61"/>
      <x:c r="K82" s="61"/>
      <x:c r="L82" s="52"/>
      <x:c r="M82" s="52"/>
      <x:c r="N82" s="52"/>
    </x:row>
    <x:row r="83" ht="22" customHeight="1">
      <x:c r="A83" s="63"/>
      <x:c r="B83" s="61"/>
      <x:c r="C83" s="61"/>
      <x:c r="D83" s="61"/>
      <x:c r="E83" s="61"/>
      <x:c r="F83" s="64"/>
      <x:c r="G83" s="64"/>
      <x:c r="H83" s="65" t="str">
        <x:f>IF(COUNTA(A83:G83)=0,"",$N$3+SUM($F$15:F83)-SUM($G$15:G83))</x:f>
      </x:c>
      <x:c r="I83" s="61"/>
      <x:c r="J83" s="61"/>
      <x:c r="K83" s="61"/>
      <x:c r="L83" s="52"/>
      <x:c r="M83" s="52"/>
      <x:c r="N83" s="52"/>
    </x:row>
    <x:row r="84" ht="22" customHeight="1">
      <x:c r="A84" s="63"/>
      <x:c r="B84" s="61"/>
      <x:c r="C84" s="61"/>
      <x:c r="D84" s="61"/>
      <x:c r="E84" s="61"/>
      <x:c r="F84" s="64"/>
      <x:c r="G84" s="64"/>
      <x:c r="H84" s="65" t="str">
        <x:f>IF(COUNTA(A84:G84)=0,"",$N$3+SUM($F$15:F84)-SUM($G$15:G84))</x:f>
      </x:c>
      <x:c r="I84" s="61"/>
      <x:c r="J84" s="61"/>
      <x:c r="K84" s="61"/>
      <x:c r="L84" s="52"/>
      <x:c r="M84" s="52"/>
      <x:c r="N84" s="52"/>
    </x:row>
    <x:row r="85" ht="22" customHeight="1">
      <x:c r="A85" s="63"/>
      <x:c r="B85" s="61"/>
      <x:c r="C85" s="61"/>
      <x:c r="D85" s="61"/>
      <x:c r="E85" s="61"/>
      <x:c r="F85" s="64"/>
      <x:c r="G85" s="64"/>
      <x:c r="H85" s="65" t="str">
        <x:f>IF(COUNTA(A85:G85)=0,"",$N$3+SUM($F$15:F85)-SUM($G$15:G85))</x:f>
      </x:c>
      <x:c r="I85" s="61"/>
      <x:c r="J85" s="61"/>
      <x:c r="K85" s="61"/>
      <x:c r="L85" s="52"/>
      <x:c r="M85" s="52"/>
      <x:c r="N85" s="52"/>
    </x:row>
    <x:row r="86" ht="22" customHeight="1">
      <x:c r="A86" s="63"/>
      <x:c r="B86" s="61"/>
      <x:c r="C86" s="61"/>
      <x:c r="D86" s="61"/>
      <x:c r="E86" s="61"/>
      <x:c r="F86" s="64"/>
      <x:c r="G86" s="64"/>
      <x:c r="H86" s="65" t="str">
        <x:f>IF(COUNTA(A86:G86)=0,"",$N$3+SUM($F$15:F86)-SUM($G$15:G86))</x:f>
      </x:c>
      <x:c r="I86" s="61"/>
      <x:c r="J86" s="61"/>
      <x:c r="K86" s="61"/>
      <x:c r="L86" s="52"/>
      <x:c r="M86" s="52"/>
      <x:c r="N86" s="52"/>
    </x:row>
    <x:row r="87" ht="22" customHeight="1">
      <x:c r="A87" s="63"/>
      <x:c r="B87" s="61"/>
      <x:c r="C87" s="61"/>
      <x:c r="D87" s="61"/>
      <x:c r="E87" s="61"/>
      <x:c r="F87" s="64"/>
      <x:c r="G87" s="64"/>
      <x:c r="H87" s="65" t="str">
        <x:f>IF(COUNTA(A87:G87)=0,"",$N$3+SUM($F$15:F87)-SUM($G$15:G87))</x:f>
      </x:c>
      <x:c r="I87" s="61"/>
      <x:c r="J87" s="61"/>
      <x:c r="K87" s="61"/>
      <x:c r="L87" s="52"/>
      <x:c r="M87" s="52"/>
      <x:c r="N87" s="52"/>
    </x:row>
    <x:row r="88" ht="22" customHeight="1">
      <x:c r="A88" s="63"/>
      <x:c r="B88" s="61"/>
      <x:c r="C88" s="61"/>
      <x:c r="D88" s="61"/>
      <x:c r="E88" s="61"/>
      <x:c r="F88" s="64"/>
      <x:c r="G88" s="64"/>
      <x:c r="H88" s="65" t="str">
        <x:f>IF(COUNTA(A88:G88)=0,"",$N$3+SUM($F$15:F88)-SUM($G$15:G88))</x:f>
      </x:c>
      <x:c r="I88" s="61"/>
      <x:c r="J88" s="61"/>
      <x:c r="K88" s="61"/>
      <x:c r="L88" s="52"/>
      <x:c r="M88" s="52"/>
      <x:c r="N88" s="52"/>
    </x:row>
    <x:row r="89" ht="22" customHeight="1">
      <x:c r="A89" s="63"/>
      <x:c r="B89" s="61"/>
      <x:c r="C89" s="61"/>
      <x:c r="D89" s="61"/>
      <x:c r="E89" s="61"/>
      <x:c r="F89" s="64"/>
      <x:c r="G89" s="64"/>
      <x:c r="H89" s="65" t="str">
        <x:f>IF(COUNTA(A89:G89)=0,"",$N$3+SUM($F$15:F89)-SUM($G$15:G89))</x:f>
      </x:c>
      <x:c r="I89" s="61"/>
      <x:c r="J89" s="61"/>
      <x:c r="K89" s="61"/>
      <x:c r="L89" s="52"/>
      <x:c r="M89" s="52"/>
      <x:c r="N89" s="52"/>
    </x:row>
    <x:row r="90" ht="22" customHeight="1">
      <x:c r="A90" s="63"/>
      <x:c r="B90" s="61"/>
      <x:c r="C90" s="61"/>
      <x:c r="D90" s="61"/>
      <x:c r="E90" s="61"/>
      <x:c r="F90" s="64"/>
      <x:c r="G90" s="64"/>
      <x:c r="H90" s="65" t="str">
        <x:f>IF(COUNTA(A90:G90)=0,"",$N$3+SUM($F$15:F90)-SUM($G$15:G90))</x:f>
      </x:c>
      <x:c r="I90" s="61"/>
      <x:c r="J90" s="61"/>
      <x:c r="K90" s="61"/>
      <x:c r="L90" s="52"/>
      <x:c r="M90" s="52"/>
      <x:c r="N90" s="52"/>
    </x:row>
    <x:row r="91" ht="22" customHeight="1">
      <x:c r="A91" s="63"/>
      <x:c r="B91" s="61"/>
      <x:c r="C91" s="61"/>
      <x:c r="D91" s="61"/>
      <x:c r="E91" s="61"/>
      <x:c r="F91" s="64"/>
      <x:c r="G91" s="64"/>
      <x:c r="H91" s="65" t="str">
        <x:f>IF(COUNTA(A91:G91)=0,"",$N$3+SUM($F$15:F91)-SUM($G$15:G91))</x:f>
      </x:c>
      <x:c r="I91" s="61"/>
      <x:c r="J91" s="61"/>
      <x:c r="K91" s="61"/>
      <x:c r="L91" s="52"/>
      <x:c r="M91" s="52"/>
      <x:c r="N91" s="52"/>
    </x:row>
    <x:row r="92" ht="22" customHeight="1">
      <x:c r="A92" s="63"/>
      <x:c r="B92" s="61"/>
      <x:c r="C92" s="61"/>
      <x:c r="D92" s="61"/>
      <x:c r="E92" s="61"/>
      <x:c r="F92" s="64"/>
      <x:c r="G92" s="64"/>
      <x:c r="H92" s="65" t="str">
        <x:f>IF(COUNTA(A92:G92)=0,"",$N$3+SUM($F$15:F92)-SUM($G$15:G92))</x:f>
      </x:c>
      <x:c r="I92" s="61"/>
      <x:c r="J92" s="61"/>
      <x:c r="K92" s="61"/>
      <x:c r="L92" s="52"/>
      <x:c r="M92" s="52"/>
      <x:c r="N92" s="52"/>
    </x:row>
    <x:row r="93" ht="22" customHeight="1">
      <x:c r="A93" s="63"/>
      <x:c r="B93" s="61"/>
      <x:c r="C93" s="61"/>
      <x:c r="D93" s="61"/>
      <x:c r="E93" s="61"/>
      <x:c r="F93" s="64"/>
      <x:c r="G93" s="64"/>
      <x:c r="H93" s="65" t="str">
        <x:f>IF(COUNTA(A93:G93)=0,"",$N$3+SUM($F$15:F93)-SUM($G$15:G93))</x:f>
      </x:c>
      <x:c r="I93" s="61"/>
      <x:c r="J93" s="61"/>
      <x:c r="K93" s="61"/>
      <x:c r="L93" s="52"/>
      <x:c r="M93" s="52"/>
      <x:c r="N93" s="52"/>
    </x:row>
    <x:row r="94" ht="22" customHeight="1">
      <x:c r="A94" s="63"/>
      <x:c r="B94" s="61"/>
      <x:c r="C94" s="61"/>
      <x:c r="D94" s="61"/>
      <x:c r="E94" s="61"/>
      <x:c r="F94" s="64"/>
      <x:c r="G94" s="64"/>
      <x:c r="H94" s="65" t="str">
        <x:f>IF(COUNTA(A94:G94)=0,"",$N$3+SUM($F$15:F94)-SUM($G$15:G94))</x:f>
      </x:c>
      <x:c r="I94" s="61"/>
      <x:c r="J94" s="61"/>
      <x:c r="K94" s="61"/>
      <x:c r="L94" s="52"/>
      <x:c r="M94" s="52"/>
      <x:c r="N94" s="52"/>
    </x:row>
    <x:row r="95" ht="22" customHeight="1">
      <x:c r="A95" s="63"/>
      <x:c r="B95" s="61"/>
      <x:c r="C95" s="61"/>
      <x:c r="D95" s="61"/>
      <x:c r="E95" s="61"/>
      <x:c r="F95" s="64"/>
      <x:c r="G95" s="64"/>
      <x:c r="H95" s="65" t="str">
        <x:f>IF(COUNTA(A95:G95)=0,"",$N$3+SUM($F$15:F95)-SUM($G$15:G95))</x:f>
      </x:c>
      <x:c r="I95" s="61"/>
      <x:c r="J95" s="61"/>
      <x:c r="K95" s="61"/>
      <x:c r="L95" s="52"/>
      <x:c r="M95" s="52"/>
      <x:c r="N95" s="52"/>
    </x:row>
    <x:row r="96" ht="22" customHeight="1">
      <x:c r="A96" s="63"/>
      <x:c r="B96" s="61"/>
      <x:c r="C96" s="61"/>
      <x:c r="D96" s="61"/>
      <x:c r="E96" s="61"/>
      <x:c r="F96" s="64"/>
      <x:c r="G96" s="64"/>
      <x:c r="H96" s="65" t="str">
        <x:f>IF(COUNTA(A96:G96)=0,"",$N$3+SUM($F$15:F96)-SUM($G$15:G96))</x:f>
      </x:c>
      <x:c r="I96" s="61"/>
      <x:c r="J96" s="61"/>
      <x:c r="K96" s="61"/>
      <x:c r="L96" s="52"/>
      <x:c r="M96" s="52"/>
      <x:c r="N96" s="52"/>
    </x:row>
    <x:row r="97" ht="22" customHeight="1">
      <x:c r="A97" s="63"/>
      <x:c r="B97" s="61"/>
      <x:c r="C97" s="61"/>
      <x:c r="D97" s="61"/>
      <x:c r="E97" s="61"/>
      <x:c r="F97" s="64"/>
      <x:c r="G97" s="64"/>
      <x:c r="H97" s="65" t="str">
        <x:f>IF(COUNTA(A97:G97)=0,"",$N$3+SUM($F$15:F97)-SUM($G$15:G97))</x:f>
      </x:c>
      <x:c r="I97" s="61"/>
      <x:c r="J97" s="61"/>
      <x:c r="K97" s="61"/>
      <x:c r="L97" s="52"/>
      <x:c r="M97" s="52"/>
      <x:c r="N97" s="52"/>
    </x:row>
    <x:row r="98" ht="22" customHeight="1">
      <x:c r="A98" s="63"/>
      <x:c r="B98" s="61"/>
      <x:c r="C98" s="61"/>
      <x:c r="D98" s="61"/>
      <x:c r="E98" s="61"/>
      <x:c r="F98" s="64"/>
      <x:c r="G98" s="64"/>
      <x:c r="H98" s="65" t="str">
        <x:f>IF(COUNTA(A98:G98)=0,"",$N$3+SUM($F$15:F98)-SUM($G$15:G98))</x:f>
      </x:c>
      <x:c r="I98" s="61"/>
      <x:c r="J98" s="61"/>
      <x:c r="K98" s="61"/>
      <x:c r="L98" s="52"/>
      <x:c r="M98" s="52"/>
      <x:c r="N98" s="52"/>
    </x:row>
    <x:row r="99" ht="22" customHeight="1">
      <x:c r="A99" s="63"/>
      <x:c r="B99" s="61"/>
      <x:c r="C99" s="61"/>
      <x:c r="D99" s="61"/>
      <x:c r="E99" s="61"/>
      <x:c r="F99" s="64"/>
      <x:c r="G99" s="64"/>
      <x:c r="H99" s="65" t="str">
        <x:f>IF(COUNTA(A99:G99)=0,"",$N$3+SUM($F$15:F99)-SUM($G$15:G99))</x:f>
      </x:c>
      <x:c r="I99" s="61"/>
      <x:c r="J99" s="61"/>
      <x:c r="K99" s="61"/>
      <x:c r="L99" s="52"/>
      <x:c r="M99" s="52"/>
      <x:c r="N99" s="52"/>
    </x:row>
    <x:row r="100" ht="22" customHeight="1">
      <x:c r="A100" s="63"/>
      <x:c r="B100" s="61"/>
      <x:c r="C100" s="61"/>
      <x:c r="D100" s="61"/>
      <x:c r="E100" s="61"/>
      <x:c r="F100" s="64"/>
      <x:c r="G100" s="64"/>
      <x:c r="H100" s="65" t="str">
        <x:f>IF(COUNTA(A100:G100)=0,"",$N$3+SUM($F$15:F100)-SUM($G$15:G100))</x:f>
      </x:c>
      <x:c r="I100" s="61"/>
      <x:c r="J100" s="61"/>
      <x:c r="K100" s="61"/>
      <x:c r="L100" s="52"/>
      <x:c r="M100" s="52"/>
      <x:c r="N100" s="52"/>
    </x:row>
    <x:row r="101" ht="22" customHeight="1">
      <x:c r="A101" s="63"/>
      <x:c r="B101" s="61"/>
      <x:c r="C101" s="61"/>
      <x:c r="D101" s="61"/>
      <x:c r="E101" s="61"/>
      <x:c r="F101" s="64"/>
      <x:c r="G101" s="64"/>
      <x:c r="H101" s="65" t="str">
        <x:f>IF(COUNTA(A101:G101)=0,"",$N$3+SUM($F$15:F101)-SUM($G$15:G101))</x:f>
      </x:c>
      <x:c r="I101" s="61"/>
      <x:c r="J101" s="61"/>
      <x:c r="K101" s="61"/>
      <x:c r="L101" s="52"/>
      <x:c r="M101" s="52"/>
      <x:c r="N101" s="52"/>
    </x:row>
    <x:row r="102" ht="22" customHeight="1">
      <x:c r="A102" s="63"/>
      <x:c r="B102" s="61"/>
      <x:c r="C102" s="61"/>
      <x:c r="D102" s="61"/>
      <x:c r="E102" s="61"/>
      <x:c r="F102" s="64"/>
      <x:c r="G102" s="64"/>
      <x:c r="H102" s="65" t="str">
        <x:f>IF(COUNTA(A102:G102)=0,"",$N$3+SUM($F$15:F102)-SUM($G$15:G102))</x:f>
      </x:c>
      <x:c r="I102" s="61"/>
      <x:c r="J102" s="61"/>
      <x:c r="K102" s="61"/>
      <x:c r="L102" s="52"/>
      <x:c r="M102" s="52"/>
      <x:c r="N102" s="52"/>
    </x:row>
    <x:row r="103" ht="22" customHeight="1">
      <x:c r="A103" s="63"/>
      <x:c r="B103" s="61"/>
      <x:c r="C103" s="61"/>
      <x:c r="D103" s="61"/>
      <x:c r="E103" s="61"/>
      <x:c r="F103" s="64"/>
      <x:c r="G103" s="64"/>
      <x:c r="H103" s="65" t="str">
        <x:f>IF(COUNTA(A103:G103)=0,"",$N$3+SUM($F$15:F103)-SUM($G$15:G103))</x:f>
      </x:c>
      <x:c r="I103" s="61"/>
      <x:c r="J103" s="61"/>
      <x:c r="K103" s="61"/>
      <x:c r="L103" s="52"/>
      <x:c r="M103" s="52"/>
      <x:c r="N103" s="52"/>
    </x:row>
    <x:row r="104" ht="22" customHeight="1">
      <x:c r="A104" s="63"/>
      <x:c r="B104" s="61"/>
      <x:c r="C104" s="61"/>
      <x:c r="D104" s="61"/>
      <x:c r="E104" s="61"/>
      <x:c r="F104" s="64"/>
      <x:c r="G104" s="64"/>
      <x:c r="H104" s="65" t="str">
        <x:f>IF(COUNTA(A104:G104)=0,"",$N$3+SUM($F$15:F104)-SUM($G$15:G104))</x:f>
      </x:c>
      <x:c r="I104" s="61"/>
      <x:c r="J104" s="61"/>
      <x:c r="K104" s="61"/>
      <x:c r="L104" s="52"/>
      <x:c r="M104" s="52"/>
      <x:c r="N104" s="52"/>
    </x:row>
    <x:row r="105" ht="22" customHeight="1">
      <x:c r="A105" s="63"/>
      <x:c r="B105" s="61"/>
      <x:c r="C105" s="61"/>
      <x:c r="D105" s="61"/>
      <x:c r="E105" s="61"/>
      <x:c r="F105" s="64"/>
      <x:c r="G105" s="64"/>
      <x:c r="H105" s="65" t="str">
        <x:f>IF(COUNTA(A105:G105)=0,"",$N$3+SUM($F$15:F105)-SUM($G$15:G105))</x:f>
      </x:c>
      <x:c r="I105" s="61"/>
      <x:c r="J105" s="61"/>
      <x:c r="K105" s="61"/>
      <x:c r="L105" s="52"/>
      <x:c r="M105" s="52"/>
      <x:c r="N105" s="52"/>
    </x:row>
    <x:row r="106" ht="22" customHeight="1">
      <x:c r="A106" s="63"/>
      <x:c r="B106" s="61"/>
      <x:c r="C106" s="61"/>
      <x:c r="D106" s="61"/>
      <x:c r="E106" s="61"/>
      <x:c r="F106" s="64"/>
      <x:c r="G106" s="64"/>
      <x:c r="H106" s="65" t="str">
        <x:f>IF(COUNTA(A106:G106)=0,"",$N$3+SUM($F$15:F106)-SUM($G$15:G106))</x:f>
      </x:c>
      <x:c r="I106" s="61"/>
      <x:c r="J106" s="61"/>
      <x:c r="K106" s="61"/>
      <x:c r="L106" s="52"/>
      <x:c r="M106" s="52"/>
      <x:c r="N106" s="52"/>
    </x:row>
    <x:row r="107" ht="22" customHeight="1">
      <x:c r="A107" s="63"/>
      <x:c r="B107" s="61"/>
      <x:c r="C107" s="61"/>
      <x:c r="D107" s="61"/>
      <x:c r="E107" s="61"/>
      <x:c r="F107" s="64"/>
      <x:c r="G107" s="64"/>
      <x:c r="H107" s="65" t="str">
        <x:f>IF(COUNTA(A107:G107)=0,"",$N$3+SUM($F$15:F107)-SUM($G$15:G107))</x:f>
      </x:c>
      <x:c r="I107" s="61"/>
      <x:c r="J107" s="61"/>
      <x:c r="K107" s="61"/>
      <x:c r="L107" s="52"/>
      <x:c r="M107" s="52"/>
      <x:c r="N107" s="52"/>
    </x:row>
    <x:row r="108" ht="22" customHeight="1">
      <x:c r="A108" s="63"/>
      <x:c r="B108" s="61"/>
      <x:c r="C108" s="61"/>
      <x:c r="D108" s="61"/>
      <x:c r="E108" s="61"/>
      <x:c r="F108" s="64"/>
      <x:c r="G108" s="64"/>
      <x:c r="H108" s="65" t="str">
        <x:f>IF(COUNTA(A108:G108)=0,"",$N$3+SUM($F$15:F108)-SUM($G$15:G108))</x:f>
      </x:c>
      <x:c r="I108" s="61"/>
      <x:c r="J108" s="61"/>
      <x:c r="K108" s="61"/>
      <x:c r="L108" s="52"/>
      <x:c r="M108" s="52"/>
      <x:c r="N108" s="52"/>
    </x:row>
    <x:row r="109" ht="22" customHeight="1">
      <x:c r="A109" s="63"/>
      <x:c r="B109" s="61"/>
      <x:c r="C109" s="61"/>
      <x:c r="D109" s="61"/>
      <x:c r="E109" s="61"/>
      <x:c r="F109" s="64"/>
      <x:c r="G109" s="64"/>
      <x:c r="H109" s="65" t="str">
        <x:f>IF(COUNTA(A109:G109)=0,"",$N$3+SUM($F$15:F109)-SUM($G$15:G109))</x:f>
      </x:c>
      <x:c r="I109" s="61"/>
      <x:c r="J109" s="61"/>
      <x:c r="K109" s="61"/>
      <x:c r="L109" s="52"/>
      <x:c r="M109" s="52"/>
      <x:c r="N109" s="52"/>
    </x:row>
    <x:row r="110" ht="22" customHeight="1">
      <x:c r="A110" s="63"/>
      <x:c r="B110" s="61"/>
      <x:c r="C110" s="61"/>
      <x:c r="D110" s="61"/>
      <x:c r="E110" s="61"/>
      <x:c r="F110" s="64"/>
      <x:c r="G110" s="64"/>
      <x:c r="H110" s="65" t="str">
        <x:f>IF(COUNTA(A110:G110)=0,"",$N$3+SUM($F$15:F110)-SUM($G$15:G110))</x:f>
      </x:c>
      <x:c r="I110" s="61"/>
      <x:c r="J110" s="61"/>
      <x:c r="K110" s="61"/>
      <x:c r="L110" s="52"/>
      <x:c r="M110" s="52"/>
      <x:c r="N110" s="52"/>
    </x:row>
    <x:row r="111" ht="22" customHeight="1">
      <x:c r="A111" s="63"/>
      <x:c r="B111" s="61"/>
      <x:c r="C111" s="61"/>
      <x:c r="D111" s="61"/>
      <x:c r="E111" s="61"/>
      <x:c r="F111" s="64"/>
      <x:c r="G111" s="64"/>
      <x:c r="H111" s="65" t="str">
        <x:f>IF(COUNTA(A111:G111)=0,"",$N$3+SUM($F$15:F111)-SUM($G$15:G111))</x:f>
      </x:c>
      <x:c r="I111" s="61"/>
      <x:c r="J111" s="61"/>
      <x:c r="K111" s="61"/>
      <x:c r="L111" s="52"/>
      <x:c r="M111" s="52"/>
      <x:c r="N111" s="52"/>
    </x:row>
    <x:row r="112" ht="22" customHeight="1">
      <x:c r="A112" s="63"/>
      <x:c r="B112" s="61"/>
      <x:c r="C112" s="61"/>
      <x:c r="D112" s="61"/>
      <x:c r="E112" s="61"/>
      <x:c r="F112" s="64"/>
      <x:c r="G112" s="64"/>
      <x:c r="H112" s="65" t="str">
        <x:f>IF(COUNTA(A112:G112)=0,"",$N$3+SUM($F$15:F112)-SUM($G$15:G112))</x:f>
      </x:c>
      <x:c r="I112" s="61"/>
      <x:c r="J112" s="61"/>
      <x:c r="K112" s="61"/>
      <x:c r="L112" s="52"/>
      <x:c r="M112" s="52"/>
      <x:c r="N112" s="52"/>
    </x:row>
    <x:row r="113" ht="22" customHeight="1">
      <x:c r="A113" s="63"/>
      <x:c r="B113" s="61"/>
      <x:c r="C113" s="61"/>
      <x:c r="D113" s="61"/>
      <x:c r="E113" s="61"/>
      <x:c r="F113" s="64"/>
      <x:c r="G113" s="64"/>
      <x:c r="H113" s="65" t="str">
        <x:f>IF(COUNTA(A113:G113)=0,"",$N$3+SUM($F$15:F113)-SUM($G$15:G113))</x:f>
      </x:c>
      <x:c r="I113" s="61"/>
      <x:c r="J113" s="61"/>
      <x:c r="K113" s="61"/>
      <x:c r="L113" s="52"/>
      <x:c r="M113" s="52"/>
      <x:c r="N113" s="52"/>
    </x:row>
    <x:row r="114" ht="22" customHeight="1">
      <x:c r="A114" s="63"/>
      <x:c r="B114" s="61"/>
      <x:c r="C114" s="61"/>
      <x:c r="D114" s="61"/>
      <x:c r="E114" s="61"/>
      <x:c r="F114" s="64"/>
      <x:c r="G114" s="64"/>
      <x:c r="H114" s="65" t="str">
        <x:f>IF(COUNTA(A114:G114)=0,"",$N$3+SUM($F$15:F114)-SUM($G$15:G114))</x:f>
      </x:c>
      <x:c r="I114" s="61"/>
      <x:c r="J114" s="61"/>
      <x:c r="K114" s="61"/>
      <x:c r="L114" s="52"/>
      <x:c r="M114" s="52"/>
      <x:c r="N114" s="52"/>
    </x:row>
    <x:row r="115" ht="22" customHeight="1">
      <x:c r="A115" s="63"/>
      <x:c r="B115" s="61"/>
      <x:c r="C115" s="61"/>
      <x:c r="D115" s="61"/>
      <x:c r="E115" s="61"/>
      <x:c r="F115" s="64"/>
      <x:c r="G115" s="64"/>
      <x:c r="H115" s="65" t="str">
        <x:f>IF(COUNTA(A115:G115)=0,"",$N$3+SUM($F$15:F115)-SUM($G$15:G115))</x:f>
      </x:c>
      <x:c r="I115" s="61"/>
      <x:c r="J115" s="61"/>
      <x:c r="K115" s="61"/>
      <x:c r="L115" s="52"/>
      <x:c r="M115" s="52"/>
      <x:c r="N115" s="52"/>
    </x:row>
    <x:row r="116" ht="22" customHeight="1">
      <x:c r="A116" s="63"/>
      <x:c r="B116" s="61"/>
      <x:c r="C116" s="61"/>
      <x:c r="D116" s="61"/>
      <x:c r="E116" s="61"/>
      <x:c r="F116" s="64"/>
      <x:c r="G116" s="64"/>
      <x:c r="H116" s="65" t="str">
        <x:f>IF(COUNTA(A116:G116)=0,"",$N$3+SUM($F$15:F116)-SUM($G$15:G116))</x:f>
      </x:c>
      <x:c r="I116" s="61"/>
      <x:c r="J116" s="61"/>
      <x:c r="K116" s="61"/>
      <x:c r="L116" s="52"/>
      <x:c r="M116" s="52"/>
      <x:c r="N116" s="52"/>
    </x:row>
    <x:row r="117" ht="22" customHeight="1">
      <x:c r="A117" s="63"/>
      <x:c r="B117" s="61"/>
      <x:c r="C117" s="61"/>
      <x:c r="D117" s="61"/>
      <x:c r="E117" s="61"/>
      <x:c r="F117" s="64"/>
      <x:c r="G117" s="64"/>
      <x:c r="H117" s="65" t="str">
        <x:f>IF(COUNTA(A117:G117)=0,"",$N$3+SUM($F$15:F117)-SUM($G$15:G117))</x:f>
      </x:c>
      <x:c r="I117" s="61"/>
      <x:c r="J117" s="61"/>
      <x:c r="K117" s="61"/>
      <x:c r="L117" s="52"/>
      <x:c r="M117" s="52"/>
      <x:c r="N117" s="52"/>
    </x:row>
    <x:row r="118" ht="22" customHeight="1">
      <x:c r="A118" s="63"/>
      <x:c r="B118" s="61"/>
      <x:c r="C118" s="61"/>
      <x:c r="D118" s="61"/>
      <x:c r="E118" s="61"/>
      <x:c r="F118" s="64"/>
      <x:c r="G118" s="64"/>
      <x:c r="H118" s="65" t="str">
        <x:f>IF(COUNTA(A118:G118)=0,"",$N$3+SUM($F$15:F118)-SUM($G$15:G118))</x:f>
      </x:c>
      <x:c r="I118" s="61"/>
      <x:c r="J118" s="61"/>
      <x:c r="K118" s="61"/>
      <x:c r="L118" s="52"/>
      <x:c r="M118" s="52"/>
      <x:c r="N118" s="52"/>
    </x:row>
    <x:row r="119" ht="22" customHeight="1">
      <x:c r="A119" s="63"/>
      <x:c r="B119" s="61"/>
      <x:c r="C119" s="61"/>
      <x:c r="D119" s="61"/>
      <x:c r="E119" s="61"/>
      <x:c r="F119" s="64"/>
      <x:c r="G119" s="64"/>
      <x:c r="H119" s="65" t="str">
        <x:f>IF(COUNTA(A119:G119)=0,"",$N$3+SUM($F$15:F119)-SUM($G$15:G119))</x:f>
      </x:c>
      <x:c r="I119" s="61"/>
      <x:c r="J119" s="61"/>
      <x:c r="K119" s="61"/>
      <x:c r="L119" s="52"/>
      <x:c r="M119" s="52"/>
      <x:c r="N119" s="52"/>
    </x:row>
    <x:row r="120" ht="22" customHeight="1">
      <x:c r="A120" s="63"/>
      <x:c r="B120" s="61"/>
      <x:c r="C120" s="61"/>
      <x:c r="D120" s="61"/>
      <x:c r="E120" s="61"/>
      <x:c r="F120" s="64"/>
      <x:c r="G120" s="64"/>
      <x:c r="H120" s="65" t="str">
        <x:f>IF(COUNTA(A120:G120)=0,"",$N$3+SUM($F$15:F120)-SUM($G$15:G120))</x:f>
      </x:c>
      <x:c r="I120" s="61"/>
      <x:c r="J120" s="61"/>
      <x:c r="K120" s="61"/>
      <x:c r="L120" s="52"/>
      <x:c r="M120" s="52"/>
      <x:c r="N120" s="52"/>
    </x:row>
    <x:row r="121" ht="22" customHeight="1">
      <x:c r="A121" s="63"/>
      <x:c r="B121" s="61"/>
      <x:c r="C121" s="61"/>
      <x:c r="D121" s="61"/>
      <x:c r="E121" s="61"/>
      <x:c r="F121" s="64"/>
      <x:c r="G121" s="64"/>
      <x:c r="H121" s="65" t="str">
        <x:f>IF(COUNTA(A121:G121)=0,"",$N$3+SUM($F$15:F121)-SUM($G$15:G121))</x:f>
      </x:c>
      <x:c r="I121" s="61"/>
      <x:c r="J121" s="61"/>
      <x:c r="K121" s="61"/>
      <x:c r="L121" s="52"/>
      <x:c r="M121" s="52"/>
      <x:c r="N121" s="52"/>
    </x:row>
    <x:row r="122" ht="22" customHeight="1">
      <x:c r="A122" s="63"/>
      <x:c r="B122" s="61"/>
      <x:c r="C122" s="61"/>
      <x:c r="D122" s="61"/>
      <x:c r="E122" s="61"/>
      <x:c r="F122" s="64"/>
      <x:c r="G122" s="64"/>
      <x:c r="H122" s="65" t="str">
        <x:f>IF(COUNTA(A122:G122)=0,"",$N$3+SUM($F$15:F122)-SUM($G$15:G122))</x:f>
      </x:c>
      <x:c r="I122" s="61"/>
      <x:c r="J122" s="61"/>
      <x:c r="K122" s="61"/>
      <x:c r="L122" s="52"/>
      <x:c r="M122" s="52"/>
      <x:c r="N122" s="52"/>
    </x:row>
    <x:row r="123" ht="22" customHeight="1">
      <x:c r="A123" s="63"/>
      <x:c r="B123" s="61"/>
      <x:c r="C123" s="61"/>
      <x:c r="D123" s="61"/>
      <x:c r="E123" s="61"/>
      <x:c r="F123" s="64"/>
      <x:c r="G123" s="64"/>
      <x:c r="H123" s="65" t="str">
        <x:f>IF(COUNTA(A123:G123)=0,"",$N$3+SUM($F$15:F123)-SUM($G$15:G123))</x:f>
      </x:c>
      <x:c r="I123" s="61"/>
      <x:c r="J123" s="61"/>
      <x:c r="K123" s="61"/>
      <x:c r="L123" s="52"/>
      <x:c r="M123" s="52"/>
      <x:c r="N123" s="52"/>
    </x:row>
    <x:row r="124" ht="22" customHeight="1">
      <x:c r="A124" s="63"/>
      <x:c r="B124" s="61"/>
      <x:c r="C124" s="61"/>
      <x:c r="D124" s="61"/>
      <x:c r="E124" s="61"/>
      <x:c r="F124" s="64"/>
      <x:c r="G124" s="64"/>
      <x:c r="H124" s="65" t="str">
        <x:f>IF(COUNTA(A124:G124)=0,"",$N$3+SUM($F$15:F124)-SUM($G$15:G124))</x:f>
      </x:c>
      <x:c r="I124" s="61"/>
      <x:c r="J124" s="61"/>
      <x:c r="K124" s="61"/>
      <x:c r="L124" s="52"/>
      <x:c r="M124" s="52"/>
      <x:c r="N124" s="52"/>
    </x:row>
    <x:row r="125" ht="22" customHeight="1">
      <x:c r="A125" s="63"/>
      <x:c r="B125" s="61"/>
      <x:c r="C125" s="61"/>
      <x:c r="D125" s="61"/>
      <x:c r="E125" s="61"/>
      <x:c r="F125" s="64"/>
      <x:c r="G125" s="64"/>
      <x:c r="H125" s="65" t="str">
        <x:f>IF(COUNTA(A125:G125)=0,"",$N$3+SUM($F$15:F125)-SUM($G$15:G125))</x:f>
      </x:c>
      <x:c r="I125" s="61"/>
      <x:c r="J125" s="61"/>
      <x:c r="K125" s="61"/>
      <x:c r="L125" s="52"/>
      <x:c r="M125" s="52"/>
      <x:c r="N125" s="52"/>
    </x:row>
    <x:row r="126" ht="22" customHeight="1">
      <x:c r="A126" s="63"/>
      <x:c r="B126" s="61"/>
      <x:c r="C126" s="61"/>
      <x:c r="D126" s="61"/>
      <x:c r="E126" s="61"/>
      <x:c r="F126" s="64"/>
      <x:c r="G126" s="64"/>
      <x:c r="H126" s="65" t="str">
        <x:f>IF(COUNTA(A126:G126)=0,"",$N$3+SUM($F$15:F126)-SUM($G$15:G126))</x:f>
      </x:c>
      <x:c r="I126" s="61"/>
      <x:c r="J126" s="61"/>
      <x:c r="K126" s="61"/>
      <x:c r="L126" s="52"/>
      <x:c r="M126" s="52"/>
      <x:c r="N126" s="52"/>
    </x:row>
    <x:row r="127" ht="22" customHeight="1">
      <x:c r="A127" s="63"/>
      <x:c r="B127" s="61"/>
      <x:c r="C127" s="61"/>
      <x:c r="D127" s="61"/>
      <x:c r="E127" s="61"/>
      <x:c r="F127" s="64"/>
      <x:c r="G127" s="64"/>
      <x:c r="H127" s="65" t="str">
        <x:f>IF(COUNTA(A127:G127)=0,"",$N$3+SUM($F$15:F127)-SUM($G$15:G127))</x:f>
      </x:c>
      <x:c r="I127" s="61"/>
      <x:c r="J127" s="61"/>
      <x:c r="K127" s="61"/>
      <x:c r="L127" s="52"/>
      <x:c r="M127" s="52"/>
      <x:c r="N127" s="52"/>
    </x:row>
    <x:row r="128" ht="22" customHeight="1">
      <x:c r="A128" s="63"/>
      <x:c r="B128" s="61"/>
      <x:c r="C128" s="61"/>
      <x:c r="D128" s="61"/>
      <x:c r="E128" s="61"/>
      <x:c r="F128" s="64"/>
      <x:c r="G128" s="64"/>
      <x:c r="H128" s="65" t="str">
        <x:f>IF(COUNTA(A128:G128)=0,"",$N$3+SUM($F$15:F128)-SUM($G$15:G128))</x:f>
      </x:c>
      <x:c r="I128" s="61"/>
      <x:c r="J128" s="61"/>
      <x:c r="K128" s="61"/>
      <x:c r="L128" s="52"/>
      <x:c r="M128" s="52"/>
      <x:c r="N128" s="52"/>
    </x:row>
    <x:row r="129" ht="22" customHeight="1">
      <x:c r="A129" s="63"/>
      <x:c r="B129" s="61"/>
      <x:c r="C129" s="61"/>
      <x:c r="D129" s="61"/>
      <x:c r="E129" s="61"/>
      <x:c r="F129" s="64"/>
      <x:c r="G129" s="64"/>
      <x:c r="H129" s="65" t="str">
        <x:f>IF(COUNTA(A129:G129)=0,"",$N$3+SUM($F$15:F129)-SUM($G$15:G129))</x:f>
      </x:c>
      <x:c r="I129" s="61"/>
      <x:c r="J129" s="61"/>
      <x:c r="K129" s="61"/>
      <x:c r="L129" s="52"/>
      <x:c r="M129" s="52"/>
      <x:c r="N129" s="52"/>
    </x:row>
    <x:row r="130" ht="22" customHeight="1">
      <x:c r="A130" s="63"/>
      <x:c r="B130" s="61"/>
      <x:c r="C130" s="61"/>
      <x:c r="D130" s="61"/>
      <x:c r="E130" s="61"/>
      <x:c r="F130" s="64"/>
      <x:c r="G130" s="64"/>
      <x:c r="H130" s="65" t="str">
        <x:f>IF(COUNTA(A130:G130)=0,"",$N$3+SUM($F$15:F130)-SUM($G$15:G130))</x:f>
      </x:c>
      <x:c r="I130" s="61"/>
      <x:c r="J130" s="61"/>
      <x:c r="K130" s="61"/>
      <x:c r="L130" s="52"/>
      <x:c r="M130" s="52"/>
      <x:c r="N130" s="52"/>
    </x:row>
    <x:row r="131" ht="22" customHeight="1">
      <x:c r="A131" s="63"/>
      <x:c r="B131" s="61"/>
      <x:c r="C131" s="61"/>
      <x:c r="D131" s="61"/>
      <x:c r="E131" s="61"/>
      <x:c r="F131" s="64"/>
      <x:c r="G131" s="64"/>
      <x:c r="H131" s="65" t="str">
        <x:f>IF(COUNTA(A131:G131)=0,"",$N$3+SUM($F$15:F131)-SUM($G$15:G131))</x:f>
      </x:c>
      <x:c r="I131" s="61"/>
      <x:c r="J131" s="61"/>
      <x:c r="K131" s="61"/>
      <x:c r="L131" s="52"/>
      <x:c r="M131" s="52"/>
      <x:c r="N131" s="52"/>
    </x:row>
    <x:row r="132" ht="22" customHeight="1">
      <x:c r="A132" s="63"/>
      <x:c r="B132" s="61"/>
      <x:c r="C132" s="61"/>
      <x:c r="D132" s="61"/>
      <x:c r="E132" s="61"/>
      <x:c r="F132" s="64"/>
      <x:c r="G132" s="64"/>
      <x:c r="H132" s="65" t="str">
        <x:f>IF(COUNTA(A132:G132)=0,"",$N$3+SUM($F$15:F132)-SUM($G$15:G132))</x:f>
      </x:c>
      <x:c r="I132" s="61"/>
      <x:c r="J132" s="61"/>
      <x:c r="K132" s="61"/>
      <x:c r="L132" s="52"/>
      <x:c r="M132" s="52"/>
      <x:c r="N132" s="52"/>
    </x:row>
    <x:row r="133" ht="22" customHeight="1">
      <x:c r="A133" s="63"/>
      <x:c r="B133" s="61"/>
      <x:c r="C133" s="61"/>
      <x:c r="D133" s="61"/>
      <x:c r="E133" s="61"/>
      <x:c r="F133" s="64"/>
      <x:c r="G133" s="64"/>
      <x:c r="H133" s="65" t="str">
        <x:f>IF(COUNTA(A133:G133)=0,"",$N$3+SUM($F$15:F133)-SUM($G$15:G133))</x:f>
      </x:c>
      <x:c r="I133" s="61"/>
      <x:c r="J133" s="61"/>
      <x:c r="K133" s="61"/>
      <x:c r="L133" s="52"/>
      <x:c r="M133" s="52"/>
      <x:c r="N133" s="52"/>
    </x:row>
    <x:row r="134" ht="22" customHeight="1">
      <x:c r="A134" s="63"/>
      <x:c r="B134" s="61"/>
      <x:c r="C134" s="61"/>
      <x:c r="D134" s="61"/>
      <x:c r="E134" s="61"/>
      <x:c r="F134" s="64"/>
      <x:c r="G134" s="64"/>
      <x:c r="H134" s="65" t="str">
        <x:f>IF(COUNTA(A134:G134)=0,"",$N$3+SUM($F$15:F134)-SUM($G$15:G134))</x:f>
      </x:c>
      <x:c r="I134" s="61"/>
      <x:c r="J134" s="61"/>
      <x:c r="K134" s="61"/>
      <x:c r="L134" s="52"/>
      <x:c r="M134" s="52"/>
      <x:c r="N134" s="52"/>
    </x:row>
    <x:row r="135" ht="22" customHeight="1">
      <x:c r="A135" s="63"/>
      <x:c r="B135" s="61"/>
      <x:c r="C135" s="61"/>
      <x:c r="D135" s="61"/>
      <x:c r="E135" s="61"/>
      <x:c r="F135" s="64"/>
      <x:c r="G135" s="64"/>
      <x:c r="H135" s="65" t="str">
        <x:f>IF(COUNTA(A135:G135)=0,"",$N$3+SUM($F$15:F135)-SUM($G$15:G135))</x:f>
      </x:c>
      <x:c r="I135" s="61"/>
      <x:c r="J135" s="61"/>
      <x:c r="K135" s="61"/>
      <x:c r="L135" s="52"/>
      <x:c r="M135" s="52"/>
      <x:c r="N135" s="52"/>
    </x:row>
    <x:row r="136" ht="22" customHeight="1">
      <x:c r="A136" s="63"/>
      <x:c r="B136" s="61"/>
      <x:c r="C136" s="61"/>
      <x:c r="D136" s="61"/>
      <x:c r="E136" s="61"/>
      <x:c r="F136" s="64"/>
      <x:c r="G136" s="64"/>
      <x:c r="H136" s="65" t="str">
        <x:f>IF(COUNTA(A136:G136)=0,"",$N$3+SUM($F$15:F136)-SUM($G$15:G136))</x:f>
      </x:c>
      <x:c r="I136" s="61"/>
      <x:c r="J136" s="61"/>
      <x:c r="K136" s="61"/>
      <x:c r="L136" s="52"/>
      <x:c r="M136" s="52"/>
      <x:c r="N136" s="52"/>
    </x:row>
    <x:row r="137" ht="22" customHeight="1">
      <x:c r="A137" s="63"/>
      <x:c r="B137" s="61"/>
      <x:c r="C137" s="61"/>
      <x:c r="D137" s="61"/>
      <x:c r="E137" s="61"/>
      <x:c r="F137" s="64"/>
      <x:c r="G137" s="64"/>
      <x:c r="H137" s="65" t="str">
        <x:f>IF(COUNTA(A137:G137)=0,"",$N$3+SUM($F$15:F137)-SUM($G$15:G137))</x:f>
      </x:c>
      <x:c r="I137" s="61"/>
      <x:c r="J137" s="61"/>
      <x:c r="K137" s="61"/>
      <x:c r="L137" s="52"/>
      <x:c r="M137" s="52"/>
      <x:c r="N137" s="52"/>
    </x:row>
    <x:row r="138" ht="22" customHeight="1">
      <x:c r="A138" s="63"/>
      <x:c r="B138" s="61"/>
      <x:c r="C138" s="61"/>
      <x:c r="D138" s="61"/>
      <x:c r="E138" s="61"/>
      <x:c r="F138" s="64"/>
      <x:c r="G138" s="64"/>
      <x:c r="H138" s="65" t="str">
        <x:f>IF(COUNTA(A138:G138)=0,"",$N$3+SUM($F$15:F138)-SUM($G$15:G138))</x:f>
      </x:c>
      <x:c r="I138" s="61"/>
      <x:c r="J138" s="61"/>
      <x:c r="K138" s="61"/>
      <x:c r="L138" s="52"/>
      <x:c r="M138" s="52"/>
      <x:c r="N138" s="52"/>
    </x:row>
    <x:row r="139" ht="22" customHeight="1">
      <x:c r="A139" s="63"/>
      <x:c r="B139" s="61"/>
      <x:c r="C139" s="61"/>
      <x:c r="D139" s="61"/>
      <x:c r="E139" s="61"/>
      <x:c r="F139" s="64"/>
      <x:c r="G139" s="64"/>
      <x:c r="H139" s="65" t="str">
        <x:f>IF(COUNTA(A139:G139)=0,"",$N$3+SUM($F$15:F139)-SUM($G$15:G139))</x:f>
      </x:c>
      <x:c r="I139" s="61"/>
      <x:c r="J139" s="61"/>
      <x:c r="K139" s="61"/>
      <x:c r="L139" s="52"/>
      <x:c r="M139" s="52"/>
      <x:c r="N139" s="52"/>
    </x:row>
    <x:row r="140" ht="22" customHeight="1">
      <x:c r="A140" s="63"/>
      <x:c r="B140" s="61"/>
      <x:c r="C140" s="61"/>
      <x:c r="D140" s="61"/>
      <x:c r="E140" s="61"/>
      <x:c r="F140" s="64"/>
      <x:c r="G140" s="64"/>
      <x:c r="H140" s="65" t="str">
        <x:f>IF(COUNTA(A140:G140)=0,"",$N$3+SUM($F$15:F140)-SUM($G$15:G140))</x:f>
      </x:c>
      <x:c r="I140" s="61"/>
      <x:c r="J140" s="61"/>
      <x:c r="K140" s="61"/>
      <x:c r="L140" s="52"/>
      <x:c r="M140" s="52"/>
      <x:c r="N140" s="52"/>
    </x:row>
    <x:row r="141" ht="22" customHeight="1">
      <x:c r="A141" s="63"/>
      <x:c r="B141" s="61"/>
      <x:c r="C141" s="61"/>
      <x:c r="D141" s="61"/>
      <x:c r="E141" s="61"/>
      <x:c r="F141" s="64"/>
      <x:c r="G141" s="64"/>
      <x:c r="H141" s="65" t="str">
        <x:f>IF(COUNTA(A141:G141)=0,"",$N$3+SUM($F$15:F141)-SUM($G$15:G141))</x:f>
      </x:c>
      <x:c r="I141" s="61"/>
      <x:c r="J141" s="61"/>
      <x:c r="K141" s="61"/>
      <x:c r="L141" s="52"/>
      <x:c r="M141" s="52"/>
      <x:c r="N141" s="52"/>
    </x:row>
    <x:row r="142" ht="22" customHeight="1">
      <x:c r="A142" s="63"/>
      <x:c r="B142" s="61"/>
      <x:c r="C142" s="61"/>
      <x:c r="D142" s="61"/>
      <x:c r="E142" s="61"/>
      <x:c r="F142" s="64"/>
      <x:c r="G142" s="64"/>
      <x:c r="H142" s="65" t="str">
        <x:f>IF(COUNTA(A142:G142)=0,"",$N$3+SUM($F$15:F142)-SUM($G$15:G142))</x:f>
      </x:c>
      <x:c r="I142" s="61"/>
      <x:c r="J142" s="61"/>
      <x:c r="K142" s="61"/>
      <x:c r="L142" s="52"/>
      <x:c r="M142" s="52"/>
      <x:c r="N142" s="52"/>
    </x:row>
    <x:row r="143" ht="22" customHeight="1">
      <x:c r="A143" s="63"/>
      <x:c r="B143" s="61"/>
      <x:c r="C143" s="61"/>
      <x:c r="D143" s="61"/>
      <x:c r="E143" s="61"/>
      <x:c r="F143" s="64"/>
      <x:c r="G143" s="64"/>
      <x:c r="H143" s="65" t="str">
        <x:f>IF(COUNTA(A143:G143)=0,"",$N$3+SUM($F$15:F143)-SUM($G$15:G143))</x:f>
      </x:c>
      <x:c r="I143" s="61"/>
      <x:c r="J143" s="61"/>
      <x:c r="K143" s="61"/>
      <x:c r="L143" s="52"/>
      <x:c r="M143" s="52"/>
      <x:c r="N143" s="52"/>
    </x:row>
    <x:row r="144" ht="22" customHeight="1">
      <x:c r="A144" s="63"/>
      <x:c r="B144" s="61"/>
      <x:c r="C144" s="61"/>
      <x:c r="D144" s="61"/>
      <x:c r="E144" s="61"/>
      <x:c r="F144" s="64"/>
      <x:c r="G144" s="64"/>
      <x:c r="H144" s="65" t="str">
        <x:f>IF(COUNTA(A144:G144)=0,"",$N$3+SUM($F$15:F144)-SUM($G$15:G144))</x:f>
      </x:c>
      <x:c r="I144" s="61"/>
      <x:c r="J144" s="61"/>
      <x:c r="K144" s="61"/>
      <x:c r="L144" s="52"/>
      <x:c r="M144" s="52"/>
      <x:c r="N144" s="52"/>
    </x:row>
    <x:row r="145" ht="22" customHeight="1">
      <x:c r="A145" s="63"/>
      <x:c r="B145" s="61"/>
      <x:c r="C145" s="61"/>
      <x:c r="D145" s="61"/>
      <x:c r="E145" s="61"/>
      <x:c r="F145" s="64"/>
      <x:c r="G145" s="64"/>
      <x:c r="H145" s="65" t="str">
        <x:f>IF(COUNTA(A145:G145)=0,"",$N$3+SUM($F$15:F145)-SUM($G$15:G145))</x:f>
      </x:c>
      <x:c r="I145" s="61"/>
      <x:c r="J145" s="61"/>
      <x:c r="K145" s="61"/>
      <x:c r="L145" s="52"/>
      <x:c r="M145" s="52"/>
      <x:c r="N145" s="52"/>
    </x:row>
    <x:row r="146" ht="22" customHeight="1">
      <x:c r="A146" s="63"/>
      <x:c r="B146" s="61"/>
      <x:c r="C146" s="61"/>
      <x:c r="D146" s="61"/>
      <x:c r="E146" s="61"/>
      <x:c r="F146" s="64"/>
      <x:c r="G146" s="64"/>
      <x:c r="H146" s="65" t="str">
        <x:f>IF(COUNTA(A146:G146)=0,"",$N$3+SUM($F$15:F146)-SUM($G$15:G146))</x:f>
      </x:c>
      <x:c r="I146" s="61"/>
      <x:c r="J146" s="61"/>
      <x:c r="K146" s="61"/>
      <x:c r="L146" s="52"/>
      <x:c r="M146" s="52"/>
      <x:c r="N146" s="52"/>
    </x:row>
    <x:row r="147" ht="22" customHeight="1">
      <x:c r="A147" s="63"/>
      <x:c r="B147" s="61"/>
      <x:c r="C147" s="61"/>
      <x:c r="D147" s="61"/>
      <x:c r="E147" s="61"/>
      <x:c r="F147" s="64"/>
      <x:c r="G147" s="64"/>
      <x:c r="H147" s="65" t="str">
        <x:f>IF(COUNTA(A147:G147)=0,"",$N$3+SUM($F$15:F147)-SUM($G$15:G147))</x:f>
      </x:c>
      <x:c r="I147" s="61"/>
      <x:c r="J147" s="61"/>
      <x:c r="K147" s="61"/>
      <x:c r="L147" s="52"/>
      <x:c r="M147" s="52"/>
      <x:c r="N147" s="52"/>
    </x:row>
    <x:row r="148" ht="22" customHeight="1">
      <x:c r="A148" s="63"/>
      <x:c r="B148" s="61"/>
      <x:c r="C148" s="61"/>
      <x:c r="D148" s="61"/>
      <x:c r="E148" s="61"/>
      <x:c r="F148" s="64"/>
      <x:c r="G148" s="64"/>
      <x:c r="H148" s="65" t="str">
        <x:f>IF(COUNTA(A148:G148)=0,"",$N$3+SUM($F$15:F148)-SUM($G$15:G148))</x:f>
      </x:c>
      <x:c r="I148" s="61"/>
      <x:c r="J148" s="61"/>
      <x:c r="K148" s="61"/>
      <x:c r="L148" s="52"/>
      <x:c r="M148" s="52"/>
      <x:c r="N148" s="52"/>
    </x:row>
    <x:row r="149" ht="22" customHeight="1">
      <x:c r="A149" s="63"/>
      <x:c r="B149" s="61"/>
      <x:c r="C149" s="61"/>
      <x:c r="D149" s="61"/>
      <x:c r="E149" s="61"/>
      <x:c r="F149" s="64"/>
      <x:c r="G149" s="64"/>
      <x:c r="H149" s="65" t="str">
        <x:f>IF(COUNTA(A149:G149)=0,"",$N$3+SUM($F$15:F149)-SUM($G$15:G149))</x:f>
      </x:c>
      <x:c r="I149" s="61"/>
      <x:c r="J149" s="61"/>
      <x:c r="K149" s="61"/>
      <x:c r="L149" s="52"/>
      <x:c r="M149" s="52"/>
      <x:c r="N149" s="52"/>
    </x:row>
    <x:row r="150" ht="22" customHeight="1">
      <x:c r="A150" s="63"/>
      <x:c r="B150" s="61"/>
      <x:c r="C150" s="61"/>
      <x:c r="D150" s="61"/>
      <x:c r="E150" s="61"/>
      <x:c r="F150" s="64"/>
      <x:c r="G150" s="64"/>
      <x:c r="H150" s="65" t="str">
        <x:f>IF(COUNTA(A150:G150)=0,"",$N$3+SUM($F$15:F150)-SUM($G$15:G150))</x:f>
      </x:c>
      <x:c r="I150" s="61"/>
      <x:c r="J150" s="61"/>
      <x:c r="K150" s="61"/>
      <x:c r="L150" s="52"/>
      <x:c r="M150" s="52"/>
      <x:c r="N150" s="52"/>
    </x:row>
    <x:row r="151" ht="22" customHeight="1">
      <x:c r="A151" s="63"/>
      <x:c r="B151" s="61"/>
      <x:c r="C151" s="61"/>
      <x:c r="D151" s="61"/>
      <x:c r="E151" s="61"/>
      <x:c r="F151" s="64"/>
      <x:c r="G151" s="64"/>
      <x:c r="H151" s="65" t="str">
        <x:f>IF(COUNTA(A151:G151)=0,"",$N$3+SUM($F$15:F151)-SUM($G$15:G151))</x:f>
      </x:c>
      <x:c r="I151" s="61"/>
      <x:c r="J151" s="61"/>
      <x:c r="K151" s="61"/>
      <x:c r="L151" s="52"/>
      <x:c r="M151" s="52"/>
      <x:c r="N151" s="52"/>
    </x:row>
    <x:row r="152" ht="22" customHeight="1">
      <x:c r="A152" s="63"/>
      <x:c r="B152" s="61"/>
      <x:c r="C152" s="61"/>
      <x:c r="D152" s="61"/>
      <x:c r="E152" s="61"/>
      <x:c r="F152" s="64"/>
      <x:c r="G152" s="64"/>
      <x:c r="H152" s="65" t="str">
        <x:f>IF(COUNTA(A152:G152)=0,"",$N$3+SUM($F$15:F152)-SUM($G$15:G152))</x:f>
      </x:c>
      <x:c r="I152" s="61"/>
      <x:c r="J152" s="61"/>
      <x:c r="K152" s="61"/>
      <x:c r="L152" s="52"/>
      <x:c r="M152" s="52"/>
      <x:c r="N152" s="52"/>
    </x:row>
    <x:row r="153" ht="22" customHeight="1">
      <x:c r="A153" s="63"/>
      <x:c r="B153" s="61"/>
      <x:c r="C153" s="61"/>
      <x:c r="D153" s="61"/>
      <x:c r="E153" s="61"/>
      <x:c r="F153" s="64"/>
      <x:c r="G153" s="64"/>
      <x:c r="H153" s="65" t="str">
        <x:f>IF(COUNTA(A153:G153)=0,"",$N$3+SUM($F$15:F153)-SUM($G$15:G153))</x:f>
      </x:c>
      <x:c r="I153" s="61"/>
      <x:c r="J153" s="61"/>
      <x:c r="K153" s="61"/>
      <x:c r="L153" s="52"/>
      <x:c r="M153" s="52"/>
      <x:c r="N153" s="52"/>
    </x:row>
    <x:row r="154" ht="22" customHeight="1">
      <x:c r="A154" s="63"/>
      <x:c r="B154" s="61"/>
      <x:c r="C154" s="61"/>
      <x:c r="D154" s="61"/>
      <x:c r="E154" s="61"/>
      <x:c r="F154" s="64"/>
      <x:c r="G154" s="64"/>
      <x:c r="H154" s="65" t="str">
        <x:f>IF(COUNTA(A154:G154)=0,"",$N$3+SUM($F$15:F154)-SUM($G$15:G154))</x:f>
      </x:c>
      <x:c r="I154" s="61"/>
      <x:c r="J154" s="61"/>
      <x:c r="K154" s="61"/>
      <x:c r="L154" s="52"/>
      <x:c r="M154" s="52"/>
      <x:c r="N154" s="52"/>
    </x:row>
    <x:row r="155" ht="22" customHeight="1">
      <x:c r="A155" s="63"/>
      <x:c r="B155" s="61"/>
      <x:c r="C155" s="61"/>
      <x:c r="D155" s="61"/>
      <x:c r="E155" s="61"/>
      <x:c r="F155" s="64"/>
      <x:c r="G155" s="64"/>
      <x:c r="H155" s="65" t="str">
        <x:f>IF(COUNTA(A155:G155)=0,"",$N$3+SUM($F$15:F155)-SUM($G$15:G155))</x:f>
      </x:c>
      <x:c r="I155" s="61"/>
      <x:c r="J155" s="61"/>
      <x:c r="K155" s="61"/>
      <x:c r="L155" s="52"/>
      <x:c r="M155" s="52"/>
      <x:c r="N155" s="52"/>
    </x:row>
    <x:row r="156" ht="22" customHeight="1">
      <x:c r="A156" s="63"/>
      <x:c r="B156" s="61"/>
      <x:c r="C156" s="61"/>
      <x:c r="D156" s="61"/>
      <x:c r="E156" s="61"/>
      <x:c r="F156" s="64"/>
      <x:c r="G156" s="64"/>
      <x:c r="H156" s="65" t="str">
        <x:f>IF(COUNTA(A156:G156)=0,"",$N$3+SUM($F$15:F156)-SUM($G$15:G156))</x:f>
      </x:c>
      <x:c r="I156" s="61"/>
      <x:c r="J156" s="61"/>
      <x:c r="K156" s="61"/>
      <x:c r="L156" s="52"/>
      <x:c r="M156" s="52"/>
      <x:c r="N156" s="52"/>
    </x:row>
    <x:row r="157" ht="22" customHeight="1">
      <x:c r="A157" s="63"/>
      <x:c r="B157" s="61"/>
      <x:c r="C157" s="61"/>
      <x:c r="D157" s="61"/>
      <x:c r="E157" s="61"/>
      <x:c r="F157" s="64"/>
      <x:c r="G157" s="64"/>
      <x:c r="H157" s="65" t="str">
        <x:f>IF(COUNTA(A157:G157)=0,"",$N$3+SUM($F$15:F157)-SUM($G$15:G157))</x:f>
      </x:c>
      <x:c r="I157" s="61"/>
      <x:c r="J157" s="61"/>
      <x:c r="K157" s="61"/>
      <x:c r="L157" s="52"/>
      <x:c r="M157" s="52"/>
      <x:c r="N157" s="52"/>
    </x:row>
    <x:row r="158" ht="22" customHeight="1">
      <x:c r="A158" s="63"/>
      <x:c r="B158" s="61"/>
      <x:c r="C158" s="61"/>
      <x:c r="D158" s="61"/>
      <x:c r="E158" s="61"/>
      <x:c r="F158" s="64"/>
      <x:c r="G158" s="64"/>
      <x:c r="H158" s="65" t="str">
        <x:f>IF(COUNTA(A158:G158)=0,"",$N$3+SUM($F$15:F158)-SUM($G$15:G158))</x:f>
      </x:c>
      <x:c r="I158" s="61"/>
      <x:c r="J158" s="61"/>
      <x:c r="K158" s="61"/>
      <x:c r="L158" s="52"/>
      <x:c r="M158" s="52"/>
      <x:c r="N158" s="52"/>
    </x:row>
    <x:row r="159" ht="22" customHeight="1">
      <x:c r="A159" s="63"/>
      <x:c r="B159" s="61"/>
      <x:c r="C159" s="61"/>
      <x:c r="D159" s="61"/>
      <x:c r="E159" s="61"/>
      <x:c r="F159" s="64"/>
      <x:c r="G159" s="64"/>
      <x:c r="H159" s="65" t="str">
        <x:f>IF(COUNTA(A159:G159)=0,"",$N$3+SUM($F$15:F159)-SUM($G$15:G159))</x:f>
      </x:c>
      <x:c r="I159" s="61"/>
      <x:c r="J159" s="61"/>
      <x:c r="K159" s="61"/>
      <x:c r="L159" s="52"/>
      <x:c r="M159" s="52"/>
      <x:c r="N159" s="52"/>
    </x:row>
    <x:row r="160" ht="22" customHeight="1">
      <x:c r="A160" s="63"/>
      <x:c r="B160" s="61"/>
      <x:c r="C160" s="61"/>
      <x:c r="D160" s="61"/>
      <x:c r="E160" s="61"/>
      <x:c r="F160" s="64"/>
      <x:c r="G160" s="64"/>
      <x:c r="H160" s="65" t="str">
        <x:f>IF(COUNTA(A160:G160)=0,"",$N$3+SUM($F$15:F160)-SUM($G$15:G160))</x:f>
      </x:c>
      <x:c r="I160" s="61"/>
      <x:c r="J160" s="61"/>
      <x:c r="K160" s="61"/>
      <x:c r="L160" s="52"/>
      <x:c r="M160" s="52"/>
      <x:c r="N160" s="52"/>
    </x:row>
    <x:row r="161" ht="22" customHeight="1">
      <x:c r="A161" s="63"/>
      <x:c r="B161" s="61"/>
      <x:c r="C161" s="61"/>
      <x:c r="D161" s="61"/>
      <x:c r="E161" s="61"/>
      <x:c r="F161" s="64"/>
      <x:c r="G161" s="64"/>
      <x:c r="H161" s="65" t="str">
        <x:f>IF(COUNTA(A161:G161)=0,"",$N$3+SUM($F$15:F161)-SUM($G$15:G161))</x:f>
      </x:c>
      <x:c r="I161" s="61"/>
      <x:c r="J161" s="61"/>
      <x:c r="K161" s="61"/>
      <x:c r="L161" s="52"/>
      <x:c r="M161" s="52"/>
      <x:c r="N161" s="52"/>
    </x:row>
    <x:row r="162" ht="22" customHeight="1">
      <x:c r="A162" s="63"/>
      <x:c r="B162" s="61"/>
      <x:c r="C162" s="61"/>
      <x:c r="D162" s="61"/>
      <x:c r="E162" s="61"/>
      <x:c r="F162" s="64"/>
      <x:c r="G162" s="64"/>
      <x:c r="H162" s="65" t="str">
        <x:f>IF(COUNTA(A162:G162)=0,"",$N$3+SUM($F$15:F162)-SUM($G$15:G162))</x:f>
      </x:c>
      <x:c r="I162" s="61"/>
      <x:c r="J162" s="61"/>
      <x:c r="K162" s="61"/>
      <x:c r="L162" s="52"/>
      <x:c r="M162" s="52"/>
      <x:c r="N162" s="52"/>
    </x:row>
    <x:row r="163" ht="22" customHeight="1">
      <x:c r="A163" s="63"/>
      <x:c r="B163" s="61"/>
      <x:c r="C163" s="61"/>
      <x:c r="D163" s="61"/>
      <x:c r="E163" s="61"/>
      <x:c r="F163" s="64"/>
      <x:c r="G163" s="64"/>
      <x:c r="H163" s="65" t="str">
        <x:f>IF(COUNTA(A163:G163)=0,"",$N$3+SUM($F$15:F163)-SUM($G$15:G163))</x:f>
      </x:c>
      <x:c r="I163" s="61"/>
      <x:c r="J163" s="61"/>
      <x:c r="K163" s="61"/>
      <x:c r="L163" s="52"/>
      <x:c r="M163" s="52"/>
      <x:c r="N163" s="52"/>
    </x:row>
    <x:row r="164" ht="22" customHeight="1">
      <x:c r="A164" s="63"/>
      <x:c r="B164" s="61"/>
      <x:c r="C164" s="61"/>
      <x:c r="D164" s="61"/>
      <x:c r="E164" s="61"/>
      <x:c r="F164" s="64"/>
      <x:c r="G164" s="64"/>
      <x:c r="H164" s="65" t="str">
        <x:f>IF(COUNTA(A164:G164)=0,"",$N$3+SUM($F$15:F164)-SUM($G$15:G164))</x:f>
      </x:c>
      <x:c r="I164" s="61"/>
      <x:c r="J164" s="61"/>
      <x:c r="K164" s="61"/>
      <x:c r="L164" s="52"/>
      <x:c r="M164" s="52"/>
      <x:c r="N164" s="52"/>
    </x:row>
    <x:row r="165" ht="22" customHeight="1">
      <x:c r="A165" s="63"/>
      <x:c r="B165" s="61"/>
      <x:c r="C165" s="61"/>
      <x:c r="D165" s="61"/>
      <x:c r="E165" s="61"/>
      <x:c r="F165" s="64"/>
      <x:c r="G165" s="64"/>
      <x:c r="H165" s="65" t="str">
        <x:f>IF(COUNTA(A165:G165)=0,"",$N$3+SUM($F$15:F165)-SUM($G$15:G165))</x:f>
      </x:c>
      <x:c r="I165" s="61"/>
      <x:c r="J165" s="61"/>
      <x:c r="K165" s="61"/>
      <x:c r="L165" s="52"/>
      <x:c r="M165" s="52"/>
      <x:c r="N165" s="52"/>
    </x:row>
    <x:row r="166" ht="22" customHeight="1">
      <x:c r="A166" s="63"/>
      <x:c r="B166" s="61"/>
      <x:c r="C166" s="61"/>
      <x:c r="D166" s="61"/>
      <x:c r="E166" s="61"/>
      <x:c r="F166" s="64"/>
      <x:c r="G166" s="64"/>
      <x:c r="H166" s="65" t="str">
        <x:f>IF(COUNTA(A166:G166)=0,"",$N$3+SUM($F$15:F166)-SUM($G$15:G166))</x:f>
      </x:c>
      <x:c r="I166" s="61"/>
      <x:c r="J166" s="61"/>
      <x:c r="K166" s="61"/>
      <x:c r="L166" s="52"/>
      <x:c r="M166" s="52"/>
      <x:c r="N166" s="52"/>
    </x:row>
    <x:row r="167" ht="22" customHeight="1">
      <x:c r="A167" s="63"/>
      <x:c r="B167" s="61"/>
      <x:c r="C167" s="61"/>
      <x:c r="D167" s="61"/>
      <x:c r="E167" s="61"/>
      <x:c r="F167" s="64"/>
      <x:c r="G167" s="64"/>
      <x:c r="H167" s="65" t="str">
        <x:f>IF(COUNTA(A167:G167)=0,"",$N$3+SUM($F$15:F167)-SUM($G$15:G167))</x:f>
      </x:c>
      <x:c r="I167" s="61"/>
      <x:c r="J167" s="61"/>
      <x:c r="K167" s="61"/>
      <x:c r="L167" s="52"/>
      <x:c r="M167" s="52"/>
      <x:c r="N167" s="52"/>
    </x:row>
    <x:row r="168" ht="22" customHeight="1">
      <x:c r="A168" s="63"/>
      <x:c r="B168" s="61"/>
      <x:c r="C168" s="61"/>
      <x:c r="D168" s="61"/>
      <x:c r="E168" s="61"/>
      <x:c r="F168" s="64"/>
      <x:c r="G168" s="64"/>
      <x:c r="H168" s="65" t="str">
        <x:f>IF(COUNTA(A168:G168)=0,"",$N$3+SUM($F$15:F168)-SUM($G$15:G168))</x:f>
      </x:c>
      <x:c r="I168" s="61"/>
      <x:c r="J168" s="61"/>
      <x:c r="K168" s="61"/>
      <x:c r="L168" s="52"/>
      <x:c r="M168" s="52"/>
      <x:c r="N168" s="52"/>
    </x:row>
    <x:row r="169" ht="22" customHeight="1">
      <x:c r="A169" s="63"/>
      <x:c r="B169" s="61"/>
      <x:c r="C169" s="61"/>
      <x:c r="D169" s="61"/>
      <x:c r="E169" s="61"/>
      <x:c r="F169" s="64"/>
      <x:c r="G169" s="64"/>
      <x:c r="H169" s="65" t="str">
        <x:f>IF(COUNTA(A169:G169)=0,"",$N$3+SUM($F$15:F169)-SUM($G$15:G169))</x:f>
      </x:c>
      <x:c r="I169" s="61"/>
      <x:c r="J169" s="61"/>
      <x:c r="K169" s="61"/>
      <x:c r="L169" s="52"/>
      <x:c r="M169" s="52"/>
      <x:c r="N169" s="52"/>
    </x:row>
    <x:row r="170" ht="22" customHeight="1">
      <x:c r="A170" s="63"/>
      <x:c r="B170" s="61"/>
      <x:c r="C170" s="61"/>
      <x:c r="D170" s="61"/>
      <x:c r="E170" s="61"/>
      <x:c r="F170" s="64"/>
      <x:c r="G170" s="64"/>
      <x:c r="H170" s="65" t="str">
        <x:f>IF(COUNTA(A170:G170)=0,"",$N$3+SUM($F$15:F170)-SUM($G$15:G170))</x:f>
      </x:c>
      <x:c r="I170" s="61"/>
      <x:c r="J170" s="61"/>
      <x:c r="K170" s="61"/>
      <x:c r="L170" s="52"/>
      <x:c r="M170" s="52"/>
      <x:c r="N170" s="52"/>
    </x:row>
    <x:row r="171" ht="22" customHeight="1">
      <x:c r="A171" s="63"/>
      <x:c r="B171" s="61"/>
      <x:c r="C171" s="61"/>
      <x:c r="D171" s="61"/>
      <x:c r="E171" s="61"/>
      <x:c r="F171" s="64"/>
      <x:c r="G171" s="64"/>
      <x:c r="H171" s="65" t="str">
        <x:f>IF(COUNTA(A171:G171)=0,"",$N$3+SUM($F$15:F171)-SUM($G$15:G171))</x:f>
      </x:c>
      <x:c r="I171" s="61"/>
      <x:c r="J171" s="61"/>
      <x:c r="K171" s="61"/>
      <x:c r="L171" s="52"/>
      <x:c r="M171" s="52"/>
      <x:c r="N171" s="52"/>
    </x:row>
    <x:row r="172" ht="22" customHeight="1">
      <x:c r="A172" s="63"/>
      <x:c r="B172" s="61"/>
      <x:c r="C172" s="61"/>
      <x:c r="D172" s="61"/>
      <x:c r="E172" s="61"/>
      <x:c r="F172" s="64"/>
      <x:c r="G172" s="64"/>
      <x:c r="H172" s="65" t="str">
        <x:f>IF(COUNTA(A172:G172)=0,"",$N$3+SUM($F$15:F172)-SUM($G$15:G172))</x:f>
      </x:c>
      <x:c r="I172" s="61"/>
      <x:c r="J172" s="61"/>
      <x:c r="K172" s="61"/>
      <x:c r="L172" s="52"/>
      <x:c r="M172" s="52"/>
      <x:c r="N172" s="52"/>
    </x:row>
    <x:row r="173" ht="22" customHeight="1">
      <x:c r="A173" s="63"/>
      <x:c r="B173" s="61"/>
      <x:c r="C173" s="61"/>
      <x:c r="D173" s="61"/>
      <x:c r="E173" s="61"/>
      <x:c r="F173" s="64"/>
      <x:c r="G173" s="64"/>
      <x:c r="H173" s="65" t="str">
        <x:f>IF(COUNTA(A173:G173)=0,"",$N$3+SUM($F$15:F173)-SUM($G$15:G173))</x:f>
      </x:c>
      <x:c r="I173" s="61"/>
      <x:c r="J173" s="61"/>
      <x:c r="K173" s="61"/>
      <x:c r="L173" s="52"/>
      <x:c r="M173" s="52"/>
      <x:c r="N173" s="52"/>
    </x:row>
    <x:row r="174" ht="22" customHeight="1">
      <x:c r="A174" s="63"/>
      <x:c r="B174" s="61"/>
      <x:c r="C174" s="61"/>
      <x:c r="D174" s="61"/>
      <x:c r="E174" s="61"/>
      <x:c r="F174" s="64"/>
      <x:c r="G174" s="64"/>
      <x:c r="H174" s="65" t="str">
        <x:f>IF(COUNTA(A174:G174)=0,"",$N$3+SUM($F$15:F174)-SUM($G$15:G174))</x:f>
      </x:c>
      <x:c r="I174" s="61"/>
      <x:c r="J174" s="61"/>
      <x:c r="K174" s="61"/>
      <x:c r="L174" s="52"/>
      <x:c r="M174" s="52"/>
      <x:c r="N174" s="52"/>
    </x:row>
    <x:row r="175" ht="22" customHeight="1">
      <x:c r="A175" s="63"/>
      <x:c r="B175" s="61"/>
      <x:c r="C175" s="61"/>
      <x:c r="D175" s="61"/>
      <x:c r="E175" s="61"/>
      <x:c r="F175" s="64"/>
      <x:c r="G175" s="64"/>
      <x:c r="H175" s="65" t="str">
        <x:f>IF(COUNTA(A175:G175)=0,"",$N$3+SUM($F$15:F175)-SUM($G$15:G175))</x:f>
      </x:c>
      <x:c r="I175" s="61"/>
      <x:c r="J175" s="61"/>
      <x:c r="K175" s="61"/>
      <x:c r="L175" s="52"/>
      <x:c r="M175" s="52"/>
      <x:c r="N175" s="52"/>
    </x:row>
    <x:row r="176" ht="22" customHeight="1">
      <x:c r="A176" s="63"/>
      <x:c r="B176" s="61"/>
      <x:c r="C176" s="61"/>
      <x:c r="D176" s="61"/>
      <x:c r="E176" s="61"/>
      <x:c r="F176" s="64"/>
      <x:c r="G176" s="64"/>
      <x:c r="H176" s="65" t="str">
        <x:f>IF(COUNTA(A176:G176)=0,"",$N$3+SUM($F$15:F176)-SUM($G$15:G176))</x:f>
      </x:c>
      <x:c r="I176" s="61"/>
      <x:c r="J176" s="61"/>
      <x:c r="K176" s="61"/>
      <x:c r="L176" s="52"/>
      <x:c r="M176" s="52"/>
      <x:c r="N176" s="52"/>
    </x:row>
    <x:row r="177" ht="22" customHeight="1">
      <x:c r="A177" s="63"/>
      <x:c r="B177" s="61"/>
      <x:c r="C177" s="61"/>
      <x:c r="D177" s="61"/>
      <x:c r="E177" s="61"/>
      <x:c r="F177" s="64"/>
      <x:c r="G177" s="64"/>
      <x:c r="H177" s="65" t="str">
        <x:f>IF(COUNTA(A177:G177)=0,"",$N$3+SUM($F$15:F177)-SUM($G$15:G177))</x:f>
      </x:c>
      <x:c r="I177" s="61"/>
      <x:c r="J177" s="61"/>
      <x:c r="K177" s="61"/>
      <x:c r="L177" s="52"/>
      <x:c r="M177" s="52"/>
      <x:c r="N177" s="52"/>
    </x:row>
    <x:row r="178" ht="22" customHeight="1">
      <x:c r="A178" s="63"/>
      <x:c r="B178" s="61"/>
      <x:c r="C178" s="61"/>
      <x:c r="D178" s="61"/>
      <x:c r="E178" s="61"/>
      <x:c r="F178" s="64"/>
      <x:c r="G178" s="64"/>
      <x:c r="H178" s="65" t="str">
        <x:f>IF(COUNTA(A178:G178)=0,"",$N$3+SUM($F$15:F178)-SUM($G$15:G178))</x:f>
      </x:c>
      <x:c r="I178" s="61"/>
      <x:c r="J178" s="61"/>
      <x:c r="K178" s="61"/>
      <x:c r="L178" s="52"/>
      <x:c r="M178" s="52"/>
      <x:c r="N178" s="52"/>
    </x:row>
    <x:row r="179" ht="22" customHeight="1">
      <x:c r="A179" s="63"/>
      <x:c r="B179" s="61"/>
      <x:c r="C179" s="61"/>
      <x:c r="D179" s="61"/>
      <x:c r="E179" s="61"/>
      <x:c r="F179" s="64"/>
      <x:c r="G179" s="64"/>
      <x:c r="H179" s="65" t="str">
        <x:f>IF(COUNTA(A179:G179)=0,"",$N$3+SUM($F$15:F179)-SUM($G$15:G179))</x:f>
      </x:c>
      <x:c r="I179" s="61"/>
      <x:c r="J179" s="61"/>
      <x:c r="K179" s="61"/>
      <x:c r="L179" s="52"/>
      <x:c r="M179" s="52"/>
      <x:c r="N179" s="52"/>
    </x:row>
    <x:row r="180" ht="22" customHeight="1">
      <x:c r="A180" s="63"/>
      <x:c r="B180" s="61"/>
      <x:c r="C180" s="61"/>
      <x:c r="D180" s="61"/>
      <x:c r="E180" s="61"/>
      <x:c r="F180" s="64"/>
      <x:c r="G180" s="64"/>
      <x:c r="H180" s="65" t="str">
        <x:f>IF(COUNTA(A180:G180)=0,"",$N$3+SUM($F$15:F180)-SUM($G$15:G180))</x:f>
      </x:c>
      <x:c r="I180" s="61"/>
      <x:c r="J180" s="61"/>
      <x:c r="K180" s="61"/>
      <x:c r="L180" s="52"/>
      <x:c r="M180" s="52"/>
      <x:c r="N180" s="52"/>
    </x:row>
    <x:row r="181" ht="22" customHeight="1">
      <x:c r="A181" s="63"/>
      <x:c r="B181" s="61"/>
      <x:c r="C181" s="61"/>
      <x:c r="D181" s="61"/>
      <x:c r="E181" s="61"/>
      <x:c r="F181" s="64"/>
      <x:c r="G181" s="64"/>
      <x:c r="H181" s="65" t="str">
        <x:f>IF(COUNTA(A181:G181)=0,"",$N$3+SUM($F$15:F181)-SUM($G$15:G181))</x:f>
      </x:c>
      <x:c r="I181" s="61"/>
      <x:c r="J181" s="61"/>
      <x:c r="K181" s="61"/>
      <x:c r="L181" s="52"/>
      <x:c r="M181" s="52"/>
      <x:c r="N181" s="52"/>
    </x:row>
    <x:row r="182" ht="22" customHeight="1">
      <x:c r="A182" s="63"/>
      <x:c r="B182" s="61"/>
      <x:c r="C182" s="61"/>
      <x:c r="D182" s="61"/>
      <x:c r="E182" s="61"/>
      <x:c r="F182" s="64"/>
      <x:c r="G182" s="64"/>
      <x:c r="H182" s="65" t="str">
        <x:f>IF(COUNTA(A182:G182)=0,"",$N$3+SUM($F$15:F182)-SUM($G$15:G182))</x:f>
      </x:c>
      <x:c r="I182" s="61"/>
      <x:c r="J182" s="61"/>
      <x:c r="K182" s="61"/>
      <x:c r="L182" s="52"/>
      <x:c r="M182" s="52"/>
      <x:c r="N182" s="52"/>
    </x:row>
    <x:row r="183" ht="22" customHeight="1">
      <x:c r="A183" s="63"/>
      <x:c r="B183" s="61"/>
      <x:c r="C183" s="61"/>
      <x:c r="D183" s="61"/>
      <x:c r="E183" s="61"/>
      <x:c r="F183" s="64"/>
      <x:c r="G183" s="64"/>
      <x:c r="H183" s="65" t="str">
        <x:f>IF(COUNTA(A183:G183)=0,"",$N$3+SUM($F$15:F183)-SUM($G$15:G183))</x:f>
      </x:c>
      <x:c r="I183" s="61"/>
      <x:c r="J183" s="61"/>
      <x:c r="K183" s="61"/>
      <x:c r="L183" s="52"/>
      <x:c r="M183" s="52"/>
      <x:c r="N183" s="52"/>
    </x:row>
    <x:row r="184" ht="22" customHeight="1">
      <x:c r="A184" s="63"/>
      <x:c r="B184" s="61"/>
      <x:c r="C184" s="61"/>
      <x:c r="D184" s="61"/>
      <x:c r="E184" s="61"/>
      <x:c r="F184" s="64"/>
      <x:c r="G184" s="64"/>
      <x:c r="H184" s="65" t="str">
        <x:f>IF(COUNTA(A184:G184)=0,"",$N$3+SUM($F$15:F184)-SUM($G$15:G184))</x:f>
      </x:c>
      <x:c r="I184" s="61"/>
      <x:c r="J184" s="61"/>
      <x:c r="K184" s="61"/>
      <x:c r="L184" s="52"/>
      <x:c r="M184" s="52"/>
      <x:c r="N184" s="52"/>
    </x:row>
    <x:row r="185" ht="22" customHeight="1">
      <x:c r="A185" s="63"/>
      <x:c r="B185" s="61"/>
      <x:c r="C185" s="61"/>
      <x:c r="D185" s="61"/>
      <x:c r="E185" s="61"/>
      <x:c r="F185" s="64"/>
      <x:c r="G185" s="64"/>
      <x:c r="H185" s="65" t="str">
        <x:f>IF(COUNTA(A185:G185)=0,"",$N$3+SUM($F$15:F185)-SUM($G$15:G185))</x:f>
      </x:c>
      <x:c r="I185" s="61"/>
      <x:c r="J185" s="61"/>
      <x:c r="K185" s="61"/>
      <x:c r="L185" s="52"/>
      <x:c r="M185" s="52"/>
      <x:c r="N185" s="52"/>
    </x:row>
    <x:row r="186" ht="22" customHeight="1">
      <x:c r="A186" s="63"/>
      <x:c r="B186" s="61"/>
      <x:c r="C186" s="61"/>
      <x:c r="D186" s="61"/>
      <x:c r="E186" s="61"/>
      <x:c r="F186" s="64"/>
      <x:c r="G186" s="64"/>
      <x:c r="H186" s="65" t="str">
        <x:f>IF(COUNTA(A186:G186)=0,"",$N$3+SUM($F$15:F186)-SUM($G$15:G186))</x:f>
      </x:c>
      <x:c r="I186" s="61"/>
      <x:c r="J186" s="61"/>
      <x:c r="K186" s="61"/>
      <x:c r="L186" s="52"/>
      <x:c r="M186" s="52"/>
      <x:c r="N186" s="52"/>
    </x:row>
    <x:row r="187" ht="22" customHeight="1">
      <x:c r="A187" s="63"/>
      <x:c r="B187" s="61"/>
      <x:c r="C187" s="61"/>
      <x:c r="D187" s="61"/>
      <x:c r="E187" s="61"/>
      <x:c r="F187" s="64"/>
      <x:c r="G187" s="64"/>
      <x:c r="H187" s="65" t="str">
        <x:f>IF(COUNTA(A187:G187)=0,"",$N$3+SUM($F$15:F187)-SUM($G$15:G187))</x:f>
      </x:c>
      <x:c r="I187" s="61"/>
      <x:c r="J187" s="61"/>
      <x:c r="K187" s="61"/>
      <x:c r="L187" s="52"/>
      <x:c r="M187" s="52"/>
      <x:c r="N187" s="52"/>
    </x:row>
    <x:row r="188" ht="22" customHeight="1">
      <x:c r="A188" s="63"/>
      <x:c r="B188" s="61"/>
      <x:c r="C188" s="61"/>
      <x:c r="D188" s="61"/>
      <x:c r="E188" s="61"/>
      <x:c r="F188" s="64"/>
      <x:c r="G188" s="64"/>
      <x:c r="H188" s="65" t="str">
        <x:f>IF(COUNTA(A188:G188)=0,"",$N$3+SUM($F$15:F188)-SUM($G$15:G188))</x:f>
      </x:c>
      <x:c r="I188" s="61"/>
      <x:c r="J188" s="61"/>
      <x:c r="K188" s="61"/>
      <x:c r="L188" s="52"/>
      <x:c r="M188" s="52"/>
      <x:c r="N188" s="52"/>
    </x:row>
    <x:row r="189" ht="22" customHeight="1">
      <x:c r="A189" s="63"/>
      <x:c r="B189" s="61"/>
      <x:c r="C189" s="61"/>
      <x:c r="D189" s="61"/>
      <x:c r="E189" s="61"/>
      <x:c r="F189" s="64"/>
      <x:c r="G189" s="64"/>
      <x:c r="H189" s="65" t="str">
        <x:f>IF(COUNTA(A189:G189)=0,"",$N$3+SUM($F$15:F189)-SUM($G$15:G189))</x:f>
      </x:c>
      <x:c r="I189" s="61"/>
      <x:c r="J189" s="61"/>
      <x:c r="K189" s="61"/>
      <x:c r="L189" s="52"/>
      <x:c r="M189" s="52"/>
      <x:c r="N189" s="52"/>
    </x:row>
    <x:row r="190" ht="22" customHeight="1">
      <x:c r="A190" s="63"/>
      <x:c r="B190" s="61"/>
      <x:c r="C190" s="61"/>
      <x:c r="D190" s="61"/>
      <x:c r="E190" s="61"/>
      <x:c r="F190" s="64"/>
      <x:c r="G190" s="64"/>
      <x:c r="H190" s="65" t="str">
        <x:f>IF(COUNTA(A190:G190)=0,"",$N$3+SUM($F$15:F190)-SUM($G$15:G190))</x:f>
      </x:c>
      <x:c r="I190" s="61"/>
      <x:c r="J190" s="61"/>
      <x:c r="K190" s="61"/>
      <x:c r="L190" s="52"/>
      <x:c r="M190" s="52"/>
      <x:c r="N190" s="52"/>
    </x:row>
    <x:row r="191" ht="22" customHeight="1">
      <x:c r="A191" s="63"/>
      <x:c r="B191" s="61"/>
      <x:c r="C191" s="61"/>
      <x:c r="D191" s="61"/>
      <x:c r="E191" s="61"/>
      <x:c r="F191" s="64"/>
      <x:c r="G191" s="64"/>
      <x:c r="H191" s="65" t="str">
        <x:f>IF(COUNTA(A191:G191)=0,"",$N$3+SUM($F$15:F191)-SUM($G$15:G191))</x:f>
      </x:c>
      <x:c r="I191" s="61"/>
      <x:c r="J191" s="61"/>
      <x:c r="K191" s="61"/>
      <x:c r="L191" s="52"/>
      <x:c r="M191" s="52"/>
      <x:c r="N191" s="52"/>
    </x:row>
    <x:row r="192" ht="22" customHeight="1">
      <x:c r="A192" s="63"/>
      <x:c r="B192" s="61"/>
      <x:c r="C192" s="61"/>
      <x:c r="D192" s="61"/>
      <x:c r="E192" s="61"/>
      <x:c r="F192" s="64"/>
      <x:c r="G192" s="64"/>
      <x:c r="H192" s="65" t="str">
        <x:f>IF(COUNTA(A192:G192)=0,"",$N$3+SUM($F$15:F192)-SUM($G$15:G192))</x:f>
      </x:c>
      <x:c r="I192" s="61"/>
      <x:c r="J192" s="61"/>
      <x:c r="K192" s="61"/>
      <x:c r="L192" s="52"/>
      <x:c r="M192" s="52"/>
      <x:c r="N192" s="52"/>
    </x:row>
    <x:row r="193" ht="22" customHeight="1">
      <x:c r="A193" s="63"/>
      <x:c r="B193" s="61"/>
      <x:c r="C193" s="61"/>
      <x:c r="D193" s="61"/>
      <x:c r="E193" s="61"/>
      <x:c r="F193" s="64"/>
      <x:c r="G193" s="64"/>
      <x:c r="H193" s="65" t="str">
        <x:f>IF(COUNTA(A193:G193)=0,"",$N$3+SUM($F$15:F193)-SUM($G$15:G193))</x:f>
      </x:c>
      <x:c r="I193" s="61"/>
      <x:c r="J193" s="61"/>
      <x:c r="K193" s="61"/>
      <x:c r="L193" s="52"/>
      <x:c r="M193" s="52"/>
      <x:c r="N193" s="52"/>
    </x:row>
    <x:row r="194" ht="22" customHeight="1">
      <x:c r="A194" s="63"/>
      <x:c r="B194" s="61"/>
      <x:c r="C194" s="61"/>
      <x:c r="D194" s="61"/>
      <x:c r="E194" s="61"/>
      <x:c r="F194" s="64"/>
      <x:c r="G194" s="64"/>
      <x:c r="H194" s="65" t="str">
        <x:f>IF(COUNTA(A194:G194)=0,"",$N$3+SUM($F$15:F194)-SUM($G$15:G194))</x:f>
      </x:c>
      <x:c r="I194" s="61"/>
      <x:c r="J194" s="61"/>
      <x:c r="K194" s="61"/>
      <x:c r="L194" s="52"/>
      <x:c r="M194" s="52"/>
      <x:c r="N194" s="52"/>
    </x:row>
    <x:row r="195" ht="22" customHeight="1">
      <x:c r="A195" s="63"/>
      <x:c r="B195" s="61"/>
      <x:c r="C195" s="61"/>
      <x:c r="D195" s="61"/>
      <x:c r="E195" s="61"/>
      <x:c r="F195" s="64"/>
      <x:c r="G195" s="64"/>
      <x:c r="H195" s="65" t="str">
        <x:f>IF(COUNTA(A195:G195)=0,"",$N$3+SUM($F$15:F195)-SUM($G$15:G195))</x:f>
      </x:c>
      <x:c r="I195" s="61"/>
      <x:c r="J195" s="61"/>
      <x:c r="K195" s="61"/>
      <x:c r="L195" s="52"/>
      <x:c r="M195" s="52"/>
      <x:c r="N195" s="52"/>
    </x:row>
    <x:row r="196" ht="22" customHeight="1">
      <x:c r="A196" s="63"/>
      <x:c r="B196" s="61"/>
      <x:c r="C196" s="61"/>
      <x:c r="D196" s="61"/>
      <x:c r="E196" s="61"/>
      <x:c r="F196" s="64"/>
      <x:c r="G196" s="64"/>
      <x:c r="H196" s="65" t="str">
        <x:f>IF(COUNTA(A196:G196)=0,"",$N$3+SUM($F$15:F196)-SUM($G$15:G196))</x:f>
      </x:c>
      <x:c r="I196" s="61"/>
      <x:c r="J196" s="61"/>
      <x:c r="K196" s="61"/>
      <x:c r="L196" s="52"/>
      <x:c r="M196" s="52"/>
      <x:c r="N196" s="52"/>
    </x:row>
    <x:row r="197" ht="22" customHeight="1">
      <x:c r="A197" s="63"/>
      <x:c r="B197" s="61"/>
      <x:c r="C197" s="61"/>
      <x:c r="D197" s="61"/>
      <x:c r="E197" s="61"/>
      <x:c r="F197" s="64"/>
      <x:c r="G197" s="64"/>
      <x:c r="H197" s="65" t="str">
        <x:f>IF(COUNTA(A197:G197)=0,"",$N$3+SUM($F$15:F197)-SUM($G$15:G197))</x:f>
      </x:c>
      <x:c r="I197" s="61"/>
      <x:c r="J197" s="61"/>
      <x:c r="K197" s="61"/>
      <x:c r="L197" s="52"/>
      <x:c r="M197" s="52"/>
      <x:c r="N197" s="52"/>
    </x:row>
    <x:row r="198" ht="22" customHeight="1">
      <x:c r="A198" s="63"/>
      <x:c r="B198" s="61"/>
      <x:c r="C198" s="61"/>
      <x:c r="D198" s="61"/>
      <x:c r="E198" s="61"/>
      <x:c r="F198" s="64"/>
      <x:c r="G198" s="64"/>
      <x:c r="H198" s="65" t="str">
        <x:f>IF(COUNTA(A198:G198)=0,"",$N$3+SUM($F$15:F198)-SUM($G$15:G198))</x:f>
      </x:c>
      <x:c r="I198" s="61"/>
      <x:c r="J198" s="61"/>
      <x:c r="K198" s="61"/>
      <x:c r="L198" s="52"/>
      <x:c r="M198" s="52"/>
      <x:c r="N198" s="52"/>
    </x:row>
    <x:row r="199" ht="22" customHeight="1">
      <x:c r="A199" s="63"/>
      <x:c r="B199" s="61"/>
      <x:c r="C199" s="61"/>
      <x:c r="D199" s="61"/>
      <x:c r="E199" s="61"/>
      <x:c r="F199" s="64"/>
      <x:c r="G199" s="64"/>
      <x:c r="H199" s="65" t="str">
        <x:f>IF(COUNTA(A199:G199)=0,"",$N$3+SUM($F$15:F199)-SUM($G$15:G199))</x:f>
      </x:c>
      <x:c r="I199" s="61"/>
      <x:c r="J199" s="61"/>
      <x:c r="K199" s="61"/>
      <x:c r="L199" s="52"/>
      <x:c r="M199" s="52"/>
      <x:c r="N199" s="52"/>
    </x:row>
    <x:row r="200" ht="22" customHeight="1">
      <x:c r="A200" s="63"/>
      <x:c r="B200" s="61"/>
      <x:c r="C200" s="61"/>
      <x:c r="D200" s="61"/>
      <x:c r="E200" s="61"/>
      <x:c r="F200" s="64"/>
      <x:c r="G200" s="64"/>
      <x:c r="H200" s="65" t="str">
        <x:f>IF(COUNTA(A200:G200)=0,"",$N$3+SUM($F$15:F200)-SUM($G$15:G200))</x:f>
      </x:c>
      <x:c r="I200" s="61"/>
      <x:c r="J200" s="61"/>
      <x:c r="K200" s="61"/>
      <x:c r="L200" s="52"/>
      <x:c r="M200" s="52"/>
      <x:c r="N200" s="52"/>
    </x:row>
    <x:row r="201" ht="22" customHeight="1">
      <x:c r="A201" s="63"/>
      <x:c r="B201" s="61"/>
      <x:c r="C201" s="61"/>
      <x:c r="D201" s="61"/>
      <x:c r="E201" s="61"/>
      <x:c r="F201" s="64"/>
      <x:c r="G201" s="64"/>
      <x:c r="H201" s="65" t="str">
        <x:f>IF(COUNTA(A201:G201)=0,"",$N$3+SUM($F$15:F201)-SUM($G$15:G201))</x:f>
      </x:c>
      <x:c r="I201" s="61"/>
      <x:c r="J201" s="61"/>
      <x:c r="K201" s="61"/>
      <x:c r="L201" s="52"/>
      <x:c r="M201" s="52"/>
      <x:c r="N201" s="52"/>
    </x:row>
    <x:row r="202" ht="22" customHeight="1">
      <x:c r="A202" s="63"/>
      <x:c r="B202" s="61"/>
      <x:c r="C202" s="61"/>
      <x:c r="D202" s="61"/>
      <x:c r="E202" s="61"/>
      <x:c r="F202" s="64"/>
      <x:c r="G202" s="64"/>
      <x:c r="H202" s="65" t="str">
        <x:f>IF(COUNTA(A202:G202)=0,"",$N$3+SUM($F$15:F202)-SUM($G$15:G202))</x:f>
      </x:c>
      <x:c r="I202" s="61"/>
      <x:c r="J202" s="61"/>
      <x:c r="K202" s="61"/>
      <x:c r="L202" s="52"/>
      <x:c r="M202" s="52"/>
      <x:c r="N202" s="52"/>
    </x:row>
    <x:row r="203" ht="22" customHeight="1">
      <x:c r="A203" s="63"/>
      <x:c r="B203" s="61"/>
      <x:c r="C203" s="61"/>
      <x:c r="D203" s="61"/>
      <x:c r="E203" s="61"/>
      <x:c r="F203" s="64"/>
      <x:c r="G203" s="64"/>
      <x:c r="H203" s="65" t="str">
        <x:f>IF(COUNTA(A203:G203)=0,"",$N$3+SUM($F$15:F203)-SUM($G$15:G203))</x:f>
      </x:c>
      <x:c r="I203" s="61"/>
      <x:c r="J203" s="61"/>
      <x:c r="K203" s="61"/>
      <x:c r="L203" s="52"/>
      <x:c r="M203" s="52"/>
      <x:c r="N203" s="52"/>
    </x:row>
    <x:row r="204" ht="22" customHeight="1">
      <x:c r="A204" s="63"/>
      <x:c r="B204" s="61"/>
      <x:c r="C204" s="61"/>
      <x:c r="D204" s="61"/>
      <x:c r="E204" s="61"/>
      <x:c r="F204" s="64"/>
      <x:c r="G204" s="64"/>
      <x:c r="H204" s="65" t="str">
        <x:f>IF(COUNTA(A204:G204)=0,"",$N$3+SUM($F$15:F204)-SUM($G$15:G204))</x:f>
      </x:c>
      <x:c r="I204" s="61"/>
      <x:c r="J204" s="61"/>
      <x:c r="K204" s="61"/>
      <x:c r="L204" s="52"/>
      <x:c r="M204" s="52"/>
      <x:c r="N204" s="52"/>
    </x:row>
    <x:row r="205" ht="22" customHeight="1">
      <x:c r="A205" s="63"/>
      <x:c r="B205" s="61"/>
      <x:c r="C205" s="61"/>
      <x:c r="D205" s="61"/>
      <x:c r="E205" s="61"/>
      <x:c r="F205" s="64"/>
      <x:c r="G205" s="64"/>
      <x:c r="H205" s="65" t="str">
        <x:f>IF(COUNTA(A205:G205)=0,"",$N$3+SUM($F$15:F205)-SUM($G$15:G205))</x:f>
      </x:c>
      <x:c r="I205" s="61"/>
      <x:c r="J205" s="61"/>
      <x:c r="K205" s="61"/>
      <x:c r="L205" s="52"/>
      <x:c r="M205" s="52"/>
      <x:c r="N205" s="52"/>
    </x:row>
    <x:row r="206" ht="22" customHeight="1">
      <x:c r="A206" s="63"/>
      <x:c r="B206" s="61"/>
      <x:c r="C206" s="61"/>
      <x:c r="D206" s="61"/>
      <x:c r="E206" s="61"/>
      <x:c r="F206" s="64"/>
      <x:c r="G206" s="64"/>
      <x:c r="H206" s="65" t="str">
        <x:f>IF(COUNTA(A206:G206)=0,"",$N$3+SUM($F$15:F206)-SUM($G$15:G206))</x:f>
      </x:c>
      <x:c r="I206" s="61"/>
      <x:c r="J206" s="61"/>
      <x:c r="K206" s="61"/>
      <x:c r="L206" s="52"/>
      <x:c r="M206" s="52"/>
      <x:c r="N206" s="52"/>
    </x:row>
    <x:row r="207" ht="22" customHeight="1">
      <x:c r="A207" s="63"/>
      <x:c r="B207" s="61"/>
      <x:c r="C207" s="61"/>
      <x:c r="D207" s="61"/>
      <x:c r="E207" s="61"/>
      <x:c r="F207" s="64"/>
      <x:c r="G207" s="64"/>
      <x:c r="H207" s="65" t="str">
        <x:f>IF(COUNTA(A207:G207)=0,"",$N$3+SUM($F$15:F207)-SUM($G$15:G207))</x:f>
      </x:c>
      <x:c r="I207" s="61"/>
      <x:c r="J207" s="61"/>
      <x:c r="K207" s="61"/>
      <x:c r="L207" s="52"/>
      <x:c r="M207" s="52"/>
      <x:c r="N207" s="52"/>
    </x:row>
    <x:row r="208" ht="22" customHeight="1">
      <x:c r="A208" s="63"/>
      <x:c r="B208" s="61"/>
      <x:c r="C208" s="61"/>
      <x:c r="D208" s="61"/>
      <x:c r="E208" s="61"/>
      <x:c r="F208" s="64"/>
      <x:c r="G208" s="64"/>
      <x:c r="H208" s="65" t="str">
        <x:f>IF(COUNTA(A208:G208)=0,"",$N$3+SUM($F$15:F208)-SUM($G$15:G208))</x:f>
      </x:c>
      <x:c r="I208" s="61"/>
      <x:c r="J208" s="61"/>
      <x:c r="K208" s="61"/>
      <x:c r="L208" s="52"/>
      <x:c r="M208" s="52"/>
      <x:c r="N208" s="52"/>
    </x:row>
    <x:row r="209" ht="22" customHeight="1">
      <x:c r="A209" s="63"/>
      <x:c r="B209" s="61"/>
      <x:c r="C209" s="61"/>
      <x:c r="D209" s="61"/>
      <x:c r="E209" s="61"/>
      <x:c r="F209" s="64"/>
      <x:c r="G209" s="64"/>
      <x:c r="H209" s="65" t="str">
        <x:f>IF(COUNTA(A209:G209)=0,"",$N$3+SUM($F$15:F209)-SUM($G$15:G209))</x:f>
      </x:c>
      <x:c r="I209" s="61"/>
      <x:c r="J209" s="61"/>
      <x:c r="K209" s="61"/>
      <x:c r="L209" s="52"/>
      <x:c r="M209" s="52"/>
      <x:c r="N209" s="52"/>
    </x:row>
    <x:row r="210" ht="22" customHeight="1">
      <x:c r="A210" s="63"/>
      <x:c r="B210" s="61"/>
      <x:c r="C210" s="61"/>
      <x:c r="D210" s="61"/>
      <x:c r="E210" s="61"/>
      <x:c r="F210" s="64"/>
      <x:c r="G210" s="64"/>
      <x:c r="H210" s="65" t="str">
        <x:f>IF(COUNTA(A210:G210)=0,"",$N$3+SUM($F$15:F210)-SUM($G$15:G210))</x:f>
      </x:c>
      <x:c r="I210" s="61"/>
      <x:c r="J210" s="61"/>
      <x:c r="K210" s="61"/>
      <x:c r="L210" s="52"/>
      <x:c r="M210" s="52"/>
      <x:c r="N210" s="52"/>
    </x:row>
    <x:row r="211" ht="22" customHeight="1">
      <x:c r="A211" s="63"/>
      <x:c r="B211" s="61"/>
      <x:c r="C211" s="61"/>
      <x:c r="D211" s="61"/>
      <x:c r="E211" s="61"/>
      <x:c r="F211" s="64"/>
      <x:c r="G211" s="64"/>
      <x:c r="H211" s="65" t="str">
        <x:f>IF(COUNTA(A211:G211)=0,"",$N$3+SUM($F$15:F211)-SUM($G$15:G211))</x:f>
      </x:c>
      <x:c r="I211" s="61"/>
      <x:c r="J211" s="61"/>
      <x:c r="K211" s="61"/>
      <x:c r="L211" s="52"/>
      <x:c r="M211" s="52"/>
      <x:c r="N211" s="52"/>
    </x:row>
    <x:row r="212" ht="22" customHeight="1">
      <x:c r="A212" s="63"/>
      <x:c r="B212" s="61"/>
      <x:c r="C212" s="61"/>
      <x:c r="D212" s="61"/>
      <x:c r="E212" s="61"/>
      <x:c r="F212" s="64"/>
      <x:c r="G212" s="64"/>
      <x:c r="H212" s="65" t="str">
        <x:f>IF(COUNTA(A212:G212)=0,"",$N$3+SUM($F$15:F212)-SUM($G$15:G212))</x:f>
      </x:c>
      <x:c r="I212" s="61"/>
      <x:c r="J212" s="61"/>
      <x:c r="K212" s="61"/>
      <x:c r="L212" s="52"/>
      <x:c r="M212" s="52"/>
      <x:c r="N212" s="52"/>
    </x:row>
    <x:row r="213" ht="22" customHeight="1">
      <x:c r="A213" s="63"/>
      <x:c r="B213" s="61"/>
      <x:c r="C213" s="61"/>
      <x:c r="D213" s="61"/>
      <x:c r="E213" s="61"/>
      <x:c r="F213" s="64"/>
      <x:c r="G213" s="64"/>
      <x:c r="H213" s="65" t="str">
        <x:f>IF(COUNTA(A213:G213)=0,"",$N$3+SUM($F$15:F213)-SUM($G$15:G213))</x:f>
      </x:c>
      <x:c r="I213" s="61"/>
      <x:c r="J213" s="61"/>
      <x:c r="K213" s="61"/>
      <x:c r="L213" s="52"/>
      <x:c r="M213" s="52"/>
      <x:c r="N213" s="52"/>
    </x:row>
    <x:row r="214" ht="22" customHeight="1">
      <x:c r="A214" s="63"/>
      <x:c r="B214" s="61"/>
      <x:c r="C214" s="61"/>
      <x:c r="D214" s="61"/>
      <x:c r="E214" s="61"/>
      <x:c r="F214" s="64"/>
      <x:c r="G214" s="64"/>
      <x:c r="H214" s="65" t="str">
        <x:f>IF(COUNTA(A214:G214)=0,"",$N$3+SUM($F$15:F214)-SUM($G$15:G214))</x:f>
      </x:c>
      <x:c r="I214" s="61"/>
      <x:c r="J214" s="61"/>
      <x:c r="K214" s="61"/>
      <x:c r="L214" s="52"/>
      <x:c r="M214" s="52"/>
      <x:c r="N214" s="52"/>
    </x:row>
    <x:row r="215" ht="22" customHeight="1">
      <x:c r="A215" s="63"/>
      <x:c r="B215" s="61"/>
      <x:c r="C215" s="61"/>
      <x:c r="D215" s="61"/>
      <x:c r="E215" s="61"/>
      <x:c r="F215" s="64"/>
      <x:c r="G215" s="64"/>
      <x:c r="H215" s="65" t="str">
        <x:f>IF(COUNTA(A215:G215)=0,"",$N$3+SUM($F$15:F215)-SUM($G$15:G215))</x:f>
      </x:c>
      <x:c r="I215" s="61"/>
      <x:c r="J215" s="61"/>
      <x:c r="K215" s="61"/>
      <x:c r="L215" s="52"/>
      <x:c r="M215" s="52"/>
      <x:c r="N215" s="52"/>
    </x:row>
    <x:row r="216" ht="22" customHeight="1">
      <x:c r="A216" s="63"/>
      <x:c r="B216" s="61"/>
      <x:c r="C216" s="61"/>
      <x:c r="D216" s="61"/>
      <x:c r="E216" s="61"/>
      <x:c r="F216" s="64"/>
      <x:c r="G216" s="64"/>
      <x:c r="H216" s="65" t="str">
        <x:f>IF(COUNTA(A216:G216)=0,"",$N$3+SUM($F$15:F216)-SUM($G$15:G216))</x:f>
      </x:c>
      <x:c r="I216" s="61"/>
      <x:c r="J216" s="61"/>
      <x:c r="K216" s="61"/>
      <x:c r="L216" s="52"/>
      <x:c r="M216" s="52"/>
      <x:c r="N216" s="52"/>
    </x:row>
    <x:row r="217" ht="22" customHeight="1">
      <x:c r="A217" s="63"/>
      <x:c r="B217" s="61"/>
      <x:c r="C217" s="61"/>
      <x:c r="D217" s="61"/>
      <x:c r="E217" s="61"/>
      <x:c r="F217" s="64"/>
      <x:c r="G217" s="64"/>
      <x:c r="H217" s="65" t="str">
        <x:f>IF(COUNTA(A217:G217)=0,"",$N$3+SUM($F$15:F217)-SUM($G$15:G217))</x:f>
      </x:c>
      <x:c r="I217" s="61"/>
      <x:c r="J217" s="61"/>
      <x:c r="K217" s="61"/>
      <x:c r="L217" s="52"/>
      <x:c r="M217" s="52"/>
      <x:c r="N217" s="52"/>
    </x:row>
    <x:row r="218" ht="22" customHeight="1">
      <x:c r="A218" s="63"/>
      <x:c r="B218" s="61"/>
      <x:c r="C218" s="61"/>
      <x:c r="D218" s="61"/>
      <x:c r="E218" s="61"/>
      <x:c r="F218" s="64"/>
      <x:c r="G218" s="64"/>
      <x:c r="H218" s="65" t="str">
        <x:f>IF(COUNTA(A218:G218)=0,"",$N$3+SUM($F$15:F218)-SUM($G$15:G218))</x:f>
      </x:c>
      <x:c r="I218" s="61"/>
      <x:c r="J218" s="61"/>
      <x:c r="K218" s="61"/>
      <x:c r="L218" s="52"/>
      <x:c r="M218" s="52"/>
      <x:c r="N218" s="52"/>
    </x:row>
    <x:row r="219" ht="22" customHeight="1">
      <x:c r="A219" s="63"/>
      <x:c r="B219" s="61"/>
      <x:c r="C219" s="61"/>
      <x:c r="D219" s="61"/>
      <x:c r="E219" s="61"/>
      <x:c r="F219" s="64"/>
      <x:c r="G219" s="64"/>
      <x:c r="H219" s="65" t="str">
        <x:f>IF(COUNTA(A219:G219)=0,"",$N$3+SUM($F$15:F219)-SUM($G$15:G219))</x:f>
      </x:c>
      <x:c r="I219" s="61"/>
      <x:c r="J219" s="61"/>
      <x:c r="K219" s="61"/>
      <x:c r="L219" s="52"/>
      <x:c r="M219" s="52"/>
      <x:c r="N219" s="52"/>
    </x:row>
    <x:row r="220" ht="22" customHeight="1">
      <x:c r="A220" s="63"/>
      <x:c r="B220" s="61"/>
      <x:c r="C220" s="61"/>
      <x:c r="D220" s="61"/>
      <x:c r="E220" s="61"/>
      <x:c r="F220" s="64"/>
      <x:c r="G220" s="64"/>
      <x:c r="H220" s="65" t="str">
        <x:f>IF(COUNTA(A220:G220)=0,"",$N$3+SUM($F$15:F220)-SUM($G$15:G220))</x:f>
      </x:c>
      <x:c r="I220" s="61"/>
      <x:c r="J220" s="61"/>
      <x:c r="K220" s="61"/>
      <x:c r="L220" s="52"/>
      <x:c r="M220" s="52"/>
      <x:c r="N220" s="52"/>
    </x:row>
    <x:row r="221" ht="22" customHeight="1">
      <x:c r="A221" s="63"/>
      <x:c r="B221" s="61"/>
      <x:c r="C221" s="61"/>
      <x:c r="D221" s="61"/>
      <x:c r="E221" s="61"/>
      <x:c r="F221" s="64"/>
      <x:c r="G221" s="64"/>
      <x:c r="H221" s="65" t="str">
        <x:f>IF(COUNTA(A221:G221)=0,"",$N$3+SUM($F$15:F221)-SUM($G$15:G221))</x:f>
      </x:c>
      <x:c r="I221" s="61"/>
      <x:c r="J221" s="61"/>
      <x:c r="K221" s="61"/>
      <x:c r="L221" s="52"/>
      <x:c r="M221" s="52"/>
      <x:c r="N221" s="52"/>
    </x:row>
    <x:row r="222" ht="22" customHeight="1">
      <x:c r="A222" s="63"/>
      <x:c r="B222" s="61"/>
      <x:c r="C222" s="61"/>
      <x:c r="D222" s="61"/>
      <x:c r="E222" s="61"/>
      <x:c r="F222" s="64"/>
      <x:c r="G222" s="64"/>
      <x:c r="H222" s="65" t="str">
        <x:f>IF(COUNTA(A222:G222)=0,"",$N$3+SUM($F$15:F222)-SUM($G$15:G222))</x:f>
      </x:c>
      <x:c r="I222" s="61"/>
      <x:c r="J222" s="61"/>
      <x:c r="K222" s="61"/>
      <x:c r="L222" s="52"/>
      <x:c r="M222" s="52"/>
      <x:c r="N222" s="52"/>
    </x:row>
    <x:row r="223" ht="22" customHeight="1">
      <x:c r="A223" s="63"/>
      <x:c r="B223" s="61"/>
      <x:c r="C223" s="61"/>
      <x:c r="D223" s="61"/>
      <x:c r="E223" s="61"/>
      <x:c r="F223" s="64"/>
      <x:c r="G223" s="64"/>
      <x:c r="H223" s="65" t="str">
        <x:f>IF(COUNTA(A223:G223)=0,"",$N$3+SUM($F$15:F223)-SUM($G$15:G223))</x:f>
      </x:c>
      <x:c r="I223" s="61"/>
      <x:c r="J223" s="61"/>
      <x:c r="K223" s="61"/>
      <x:c r="L223" s="52"/>
      <x:c r="M223" s="52"/>
      <x:c r="N223" s="52"/>
    </x:row>
    <x:row r="224" ht="22" customHeight="1">
      <x:c r="A224" s="63"/>
      <x:c r="B224" s="61"/>
      <x:c r="C224" s="61"/>
      <x:c r="D224" s="61"/>
      <x:c r="E224" s="61"/>
      <x:c r="F224" s="64"/>
      <x:c r="G224" s="64"/>
      <x:c r="H224" s="65" t="str">
        <x:f>IF(COUNTA(A224:G224)=0,"",$N$3+SUM($F$15:F224)-SUM($G$15:G224))</x:f>
      </x:c>
      <x:c r="I224" s="61"/>
      <x:c r="J224" s="61"/>
      <x:c r="K224" s="61"/>
      <x:c r="L224" s="52"/>
      <x:c r="M224" s="52"/>
      <x:c r="N224" s="52"/>
    </x:row>
    <x:row r="225" ht="22" customHeight="1">
      <x:c r="A225" s="63"/>
      <x:c r="B225" s="61"/>
      <x:c r="C225" s="61"/>
      <x:c r="D225" s="61"/>
      <x:c r="E225" s="61"/>
      <x:c r="F225" s="64"/>
      <x:c r="G225" s="64"/>
      <x:c r="H225" s="65" t="str">
        <x:f>IF(COUNTA(A225:G225)=0,"",$N$3+SUM($F$15:F225)-SUM($G$15:G225))</x:f>
      </x:c>
      <x:c r="I225" s="61"/>
      <x:c r="J225" s="61"/>
      <x:c r="K225" s="61"/>
      <x:c r="L225" s="52"/>
      <x:c r="M225" s="52"/>
      <x:c r="N225" s="52"/>
    </x:row>
    <x:row r="226" ht="22" customHeight="1">
      <x:c r="A226" s="63"/>
      <x:c r="B226" s="61"/>
      <x:c r="C226" s="61"/>
      <x:c r="D226" s="61"/>
      <x:c r="E226" s="61"/>
      <x:c r="F226" s="64"/>
      <x:c r="G226" s="64"/>
      <x:c r="H226" s="65" t="str">
        <x:f>IF(COUNTA(A226:G226)=0,"",$N$3+SUM($F$15:F226)-SUM($G$15:G226))</x:f>
      </x:c>
      <x:c r="I226" s="61"/>
      <x:c r="J226" s="61"/>
      <x:c r="K226" s="61"/>
      <x:c r="L226" s="52"/>
      <x:c r="M226" s="52"/>
      <x:c r="N226" s="52"/>
    </x:row>
    <x:row r="227" ht="22" customHeight="1">
      <x:c r="A227" s="63"/>
      <x:c r="B227" s="61"/>
      <x:c r="C227" s="61"/>
      <x:c r="D227" s="61"/>
      <x:c r="E227" s="61"/>
      <x:c r="F227" s="64"/>
      <x:c r="G227" s="64"/>
      <x:c r="H227" s="65" t="str">
        <x:f>IF(COUNTA(A227:G227)=0,"",$N$3+SUM($F$15:F227)-SUM($G$15:G227))</x:f>
      </x:c>
      <x:c r="I227" s="61"/>
      <x:c r="J227" s="61"/>
      <x:c r="K227" s="61"/>
      <x:c r="L227" s="52"/>
      <x:c r="M227" s="52"/>
      <x:c r="N227" s="52"/>
    </x:row>
    <x:row r="228" ht="22" customHeight="1">
      <x:c r="A228" s="63"/>
      <x:c r="B228" s="61"/>
      <x:c r="C228" s="61"/>
      <x:c r="D228" s="61"/>
      <x:c r="E228" s="61"/>
      <x:c r="F228" s="64"/>
      <x:c r="G228" s="64"/>
      <x:c r="H228" s="65" t="str">
        <x:f>IF(COUNTA(A228:G228)=0,"",$N$3+SUM($F$15:F228)-SUM($G$15:G228))</x:f>
      </x:c>
      <x:c r="I228" s="61"/>
      <x:c r="J228" s="61"/>
      <x:c r="K228" s="61"/>
      <x:c r="L228" s="52"/>
      <x:c r="M228" s="52"/>
      <x:c r="N228" s="52"/>
    </x:row>
    <x:row r="229" ht="22" customHeight="1">
      <x:c r="A229" s="63"/>
      <x:c r="B229" s="61"/>
      <x:c r="C229" s="61"/>
      <x:c r="D229" s="61"/>
      <x:c r="E229" s="61"/>
      <x:c r="F229" s="64"/>
      <x:c r="G229" s="64"/>
      <x:c r="H229" s="65" t="str">
        <x:f>IF(COUNTA(A229:G229)=0,"",$N$3+SUM($F$15:F229)-SUM($G$15:G229))</x:f>
      </x:c>
      <x:c r="I229" s="61"/>
      <x:c r="J229" s="61"/>
      <x:c r="K229" s="61"/>
      <x:c r="L229" s="52"/>
      <x:c r="M229" s="52"/>
      <x:c r="N229" s="52"/>
    </x:row>
    <x:row r="230" ht="22" customHeight="1">
      <x:c r="A230" s="63"/>
      <x:c r="B230" s="61"/>
      <x:c r="C230" s="61"/>
      <x:c r="D230" s="61"/>
      <x:c r="E230" s="61"/>
      <x:c r="F230" s="64"/>
      <x:c r="G230" s="64"/>
      <x:c r="H230" s="65" t="str">
        <x:f>IF(COUNTA(A230:G230)=0,"",$N$3+SUM($F$15:F230)-SUM($G$15:G230))</x:f>
      </x:c>
      <x:c r="I230" s="61"/>
      <x:c r="J230" s="61"/>
      <x:c r="K230" s="61"/>
      <x:c r="L230" s="52"/>
      <x:c r="M230" s="52"/>
      <x:c r="N230" s="52"/>
    </x:row>
    <x:row r="231" ht="22" customHeight="1">
      <x:c r="A231" s="63"/>
      <x:c r="B231" s="61"/>
      <x:c r="C231" s="61"/>
      <x:c r="D231" s="61"/>
      <x:c r="E231" s="61"/>
      <x:c r="F231" s="64"/>
      <x:c r="G231" s="64"/>
      <x:c r="H231" s="65" t="str">
        <x:f>IF(COUNTA(A231:G231)=0,"",$N$3+SUM($F$15:F231)-SUM($G$15:G231))</x:f>
      </x:c>
      <x:c r="I231" s="61"/>
      <x:c r="J231" s="61"/>
      <x:c r="K231" s="61"/>
      <x:c r="L231" s="52"/>
      <x:c r="M231" s="52"/>
      <x:c r="N231" s="52"/>
    </x:row>
    <x:row r="232" ht="22" customHeight="1">
      <x:c r="A232" s="63"/>
      <x:c r="B232" s="61"/>
      <x:c r="C232" s="61"/>
      <x:c r="D232" s="61"/>
      <x:c r="E232" s="61"/>
      <x:c r="F232" s="64"/>
      <x:c r="G232" s="64"/>
      <x:c r="H232" s="65" t="str">
        <x:f>IF(COUNTA(A232:G232)=0,"",$N$3+SUM($F$15:F232)-SUM($G$15:G232))</x:f>
      </x:c>
      <x:c r="I232" s="61"/>
      <x:c r="J232" s="61"/>
      <x:c r="K232" s="61"/>
      <x:c r="L232" s="52"/>
      <x:c r="M232" s="52"/>
      <x:c r="N232" s="52"/>
    </x:row>
    <x:row r="233" ht="22" customHeight="1">
      <x:c r="A233" s="63"/>
      <x:c r="B233" s="61"/>
      <x:c r="C233" s="61"/>
      <x:c r="D233" s="61"/>
      <x:c r="E233" s="61"/>
      <x:c r="F233" s="64"/>
      <x:c r="G233" s="64"/>
      <x:c r="H233" s="65" t="str">
        <x:f>IF(COUNTA(A233:G233)=0,"",$N$3+SUM($F$15:F233)-SUM($G$15:G233))</x:f>
      </x:c>
      <x:c r="I233" s="61"/>
      <x:c r="J233" s="61"/>
      <x:c r="K233" s="61"/>
      <x:c r="L233" s="52"/>
      <x:c r="M233" s="52"/>
      <x:c r="N233" s="52"/>
    </x:row>
    <x:row r="234" ht="22" customHeight="1">
      <x:c r="A234" s="63"/>
      <x:c r="B234" s="61"/>
      <x:c r="C234" s="61"/>
      <x:c r="D234" s="61"/>
      <x:c r="E234" s="61"/>
      <x:c r="F234" s="64"/>
      <x:c r="G234" s="64"/>
      <x:c r="H234" s="65" t="str">
        <x:f>IF(COUNTA(A234:G234)=0,"",$N$3+SUM($F$15:F234)-SUM($G$15:G234))</x:f>
      </x:c>
      <x:c r="I234" s="61"/>
      <x:c r="J234" s="61"/>
      <x:c r="K234" s="61"/>
      <x:c r="L234" s="52"/>
      <x:c r="M234" s="52"/>
      <x:c r="N234" s="52"/>
    </x:row>
    <x:row r="235" ht="22" customHeight="1">
      <x:c r="A235" s="63"/>
      <x:c r="B235" s="61"/>
      <x:c r="C235" s="61"/>
      <x:c r="D235" s="61"/>
      <x:c r="E235" s="61"/>
      <x:c r="F235" s="64"/>
      <x:c r="G235" s="64"/>
      <x:c r="H235" s="65" t="str">
        <x:f>IF(COUNTA(A235:G235)=0,"",$N$3+SUM($F$15:F235)-SUM($G$15:G235))</x:f>
      </x:c>
      <x:c r="I235" s="61"/>
      <x:c r="J235" s="61"/>
      <x:c r="K235" s="61"/>
      <x:c r="L235" s="52"/>
      <x:c r="M235" s="52"/>
      <x:c r="N235" s="52"/>
    </x:row>
    <x:row r="236" ht="22" customHeight="1">
      <x:c r="A236" s="63"/>
      <x:c r="B236" s="61"/>
      <x:c r="C236" s="61"/>
      <x:c r="D236" s="61"/>
      <x:c r="E236" s="61"/>
      <x:c r="F236" s="64"/>
      <x:c r="G236" s="64"/>
      <x:c r="H236" s="65" t="str">
        <x:f>IF(COUNTA(A236:G236)=0,"",$N$3+SUM($F$15:F236)-SUM($G$15:G236))</x:f>
      </x:c>
      <x:c r="I236" s="61"/>
      <x:c r="J236" s="61"/>
      <x:c r="K236" s="61"/>
      <x:c r="L236" s="52"/>
      <x:c r="M236" s="52"/>
      <x:c r="N236" s="52"/>
    </x:row>
    <x:row r="237" ht="22" customHeight="1">
      <x:c r="A237" s="63"/>
      <x:c r="B237" s="61"/>
      <x:c r="C237" s="61"/>
      <x:c r="D237" s="61"/>
      <x:c r="E237" s="61"/>
      <x:c r="F237" s="64"/>
      <x:c r="G237" s="64"/>
      <x:c r="H237" s="65" t="str">
        <x:f>IF(COUNTA(A237:G237)=0,"",$N$3+SUM($F$15:F237)-SUM($G$15:G237))</x:f>
      </x:c>
      <x:c r="I237" s="61"/>
      <x:c r="J237" s="61"/>
      <x:c r="K237" s="61"/>
      <x:c r="L237" s="52"/>
      <x:c r="M237" s="52"/>
      <x:c r="N237" s="52"/>
    </x:row>
    <x:row r="238" ht="22" customHeight="1">
      <x:c r="A238" s="63"/>
      <x:c r="B238" s="61"/>
      <x:c r="C238" s="61"/>
      <x:c r="D238" s="61"/>
      <x:c r="E238" s="61"/>
      <x:c r="F238" s="64"/>
      <x:c r="G238" s="64"/>
      <x:c r="H238" s="65" t="str">
        <x:f>IF(COUNTA(A238:G238)=0,"",$N$3+SUM($F$15:F238)-SUM($G$15:G238))</x:f>
      </x:c>
      <x:c r="I238" s="61"/>
      <x:c r="J238" s="61"/>
      <x:c r="K238" s="61"/>
      <x:c r="L238" s="52"/>
      <x:c r="M238" s="52"/>
      <x:c r="N238" s="52"/>
    </x:row>
    <x:row r="239" ht="22" customHeight="1">
      <x:c r="A239" s="63"/>
      <x:c r="B239" s="61"/>
      <x:c r="C239" s="61"/>
      <x:c r="D239" s="61"/>
      <x:c r="E239" s="61"/>
      <x:c r="F239" s="64"/>
      <x:c r="G239" s="64"/>
      <x:c r="H239" s="65" t="str">
        <x:f>IF(COUNTA(A239:G239)=0,"",$N$3+SUM($F$15:F239)-SUM($G$15:G239))</x:f>
      </x:c>
      <x:c r="I239" s="61"/>
      <x:c r="J239" s="61"/>
      <x:c r="K239" s="61"/>
      <x:c r="L239" s="52"/>
      <x:c r="M239" s="52"/>
      <x:c r="N239" s="52"/>
    </x:row>
    <x:row r="240" ht="22" customHeight="1">
      <x:c r="A240" s="63"/>
      <x:c r="B240" s="61"/>
      <x:c r="C240" s="61"/>
      <x:c r="D240" s="61"/>
      <x:c r="E240" s="61"/>
      <x:c r="F240" s="64"/>
      <x:c r="G240" s="64"/>
      <x:c r="H240" s="65" t="str">
        <x:f>IF(COUNTA(A240:G240)=0,"",$N$3+SUM($F$15:F240)-SUM($G$15:G240))</x:f>
      </x:c>
      <x:c r="I240" s="61"/>
      <x:c r="J240" s="61"/>
      <x:c r="K240" s="61"/>
      <x:c r="L240" s="52"/>
      <x:c r="M240" s="52"/>
      <x:c r="N240" s="52"/>
    </x:row>
    <x:row r="241" ht="22" customHeight="1">
      <x:c r="A241" s="63"/>
      <x:c r="B241" s="61"/>
      <x:c r="C241" s="61"/>
      <x:c r="D241" s="61"/>
      <x:c r="E241" s="61"/>
      <x:c r="F241" s="64"/>
      <x:c r="G241" s="64"/>
      <x:c r="H241" s="65" t="str">
        <x:f>IF(COUNTA(A241:G241)=0,"",$N$3+SUM($F$15:F241)-SUM($G$15:G241))</x:f>
      </x:c>
      <x:c r="I241" s="61"/>
      <x:c r="J241" s="61"/>
      <x:c r="K241" s="61"/>
      <x:c r="L241" s="52"/>
      <x:c r="M241" s="52"/>
      <x:c r="N241" s="52"/>
    </x:row>
    <x:row r="242" ht="22" customHeight="1">
      <x:c r="A242" s="63"/>
      <x:c r="B242" s="61"/>
      <x:c r="C242" s="61"/>
      <x:c r="D242" s="61"/>
      <x:c r="E242" s="61"/>
      <x:c r="F242" s="64"/>
      <x:c r="G242" s="64"/>
      <x:c r="H242" s="65" t="str">
        <x:f>IF(COUNTA(A242:G242)=0,"",$N$3+SUM($F$15:F242)-SUM($G$15:G242))</x:f>
      </x:c>
      <x:c r="I242" s="61"/>
      <x:c r="J242" s="61"/>
      <x:c r="K242" s="61"/>
      <x:c r="L242" s="52"/>
      <x:c r="M242" s="52"/>
      <x:c r="N242" s="52"/>
    </x:row>
    <x:row r="243" ht="22" customHeight="1">
      <x:c r="A243" s="63"/>
      <x:c r="B243" s="61"/>
      <x:c r="C243" s="61"/>
      <x:c r="D243" s="61"/>
      <x:c r="E243" s="61"/>
      <x:c r="F243" s="64"/>
      <x:c r="G243" s="64"/>
      <x:c r="H243" s="65" t="str">
        <x:f>IF(COUNTA(A243:G243)=0,"",$N$3+SUM($F$15:F243)-SUM($G$15:G243))</x:f>
      </x:c>
      <x:c r="I243" s="61"/>
      <x:c r="J243" s="61"/>
      <x:c r="K243" s="61"/>
      <x:c r="L243" s="52"/>
      <x:c r="M243" s="52"/>
      <x:c r="N243" s="52"/>
    </x:row>
    <x:row r="244" ht="22" customHeight="1">
      <x:c r="A244" s="63"/>
      <x:c r="B244" s="61"/>
      <x:c r="C244" s="61"/>
      <x:c r="D244" s="61"/>
      <x:c r="E244" s="61"/>
      <x:c r="F244" s="64"/>
      <x:c r="G244" s="64"/>
      <x:c r="H244" s="65" t="str">
        <x:f>IF(COUNTA(A244:G244)=0,"",$N$3+SUM($F$15:F244)-SUM($G$15:G244))</x:f>
      </x:c>
      <x:c r="I244" s="61"/>
      <x:c r="J244" s="61"/>
      <x:c r="K244" s="61"/>
      <x:c r="L244" s="52"/>
      <x:c r="M244" s="52"/>
      <x:c r="N244" s="52"/>
    </x:row>
    <x:row r="245" ht="22" customHeight="1">
      <x:c r="A245" s="63"/>
      <x:c r="B245" s="61"/>
      <x:c r="C245" s="61"/>
      <x:c r="D245" s="61"/>
      <x:c r="E245" s="61"/>
      <x:c r="F245" s="64"/>
      <x:c r="G245" s="64"/>
      <x:c r="H245" s="65" t="str">
        <x:f>IF(COUNTA(A245:G245)=0,"",$N$3+SUM($F$15:F245)-SUM($G$15:G245))</x:f>
      </x:c>
      <x:c r="I245" s="61"/>
      <x:c r="J245" s="61"/>
      <x:c r="K245" s="61"/>
      <x:c r="L245" s="52"/>
      <x:c r="M245" s="52"/>
      <x:c r="N245" s="52"/>
    </x:row>
    <x:row r="246" ht="22" customHeight="1">
      <x:c r="A246" s="63"/>
      <x:c r="B246" s="61"/>
      <x:c r="C246" s="61"/>
      <x:c r="D246" s="61"/>
      <x:c r="E246" s="61"/>
      <x:c r="F246" s="64"/>
      <x:c r="G246" s="64"/>
      <x:c r="H246" s="65" t="str">
        <x:f>IF(COUNTA(A246:G246)=0,"",$N$3+SUM($F$15:F246)-SUM($G$15:G246))</x:f>
      </x:c>
      <x:c r="I246" s="61"/>
      <x:c r="J246" s="61"/>
      <x:c r="K246" s="61"/>
      <x:c r="L246" s="52"/>
      <x:c r="M246" s="52"/>
      <x:c r="N246" s="52"/>
    </x:row>
    <x:row r="247" ht="22" customHeight="1">
      <x:c r="A247" s="63"/>
      <x:c r="B247" s="61"/>
      <x:c r="C247" s="61"/>
      <x:c r="D247" s="61"/>
      <x:c r="E247" s="61"/>
      <x:c r="F247" s="64"/>
      <x:c r="G247" s="64"/>
      <x:c r="H247" s="65" t="str">
        <x:f>IF(COUNTA(A247:G247)=0,"",$N$3+SUM($F$15:F247)-SUM($G$15:G247))</x:f>
      </x:c>
      <x:c r="I247" s="61"/>
      <x:c r="J247" s="61"/>
      <x:c r="K247" s="61"/>
      <x:c r="L247" s="52"/>
      <x:c r="M247" s="52"/>
      <x:c r="N247" s="52"/>
    </x:row>
    <x:row r="248" ht="22" customHeight="1">
      <x:c r="A248" s="63"/>
      <x:c r="B248" s="61"/>
      <x:c r="C248" s="61"/>
      <x:c r="D248" s="61"/>
      <x:c r="E248" s="61"/>
      <x:c r="F248" s="64"/>
      <x:c r="G248" s="64"/>
      <x:c r="H248" s="65" t="str">
        <x:f>IF(COUNTA(A248:G248)=0,"",$N$3+SUM($F$15:F248)-SUM($G$15:G248))</x:f>
      </x:c>
      <x:c r="I248" s="61"/>
      <x:c r="J248" s="61"/>
      <x:c r="K248" s="61"/>
      <x:c r="L248" s="52"/>
      <x:c r="M248" s="52"/>
      <x:c r="N248" s="52"/>
    </x:row>
    <x:row r="249" ht="22" customHeight="1">
      <x:c r="A249" s="63"/>
      <x:c r="B249" s="61"/>
      <x:c r="C249" s="61"/>
      <x:c r="D249" s="61"/>
      <x:c r="E249" s="61"/>
      <x:c r="F249" s="64"/>
      <x:c r="G249" s="64"/>
      <x:c r="H249" s="65" t="str">
        <x:f>IF(COUNTA(A249:G249)=0,"",$N$3+SUM($F$15:F249)-SUM($G$15:G249))</x:f>
      </x:c>
      <x:c r="I249" s="61"/>
      <x:c r="J249" s="61"/>
      <x:c r="K249" s="61"/>
      <x:c r="L249" s="52"/>
      <x:c r="M249" s="52"/>
      <x:c r="N249" s="52"/>
    </x:row>
    <x:row r="250" ht="22" customHeight="1">
      <x:c r="A250" s="63"/>
      <x:c r="B250" s="61"/>
      <x:c r="C250" s="61"/>
      <x:c r="D250" s="61"/>
      <x:c r="E250" s="61"/>
      <x:c r="F250" s="64"/>
      <x:c r="G250" s="64"/>
      <x:c r="H250" s="65" t="str">
        <x:f>IF(COUNTA(A250:G250)=0,"",$N$3+SUM($F$15:F250)-SUM($G$15:G250))</x:f>
      </x:c>
      <x:c r="I250" s="61"/>
      <x:c r="J250" s="61"/>
      <x:c r="K250" s="61"/>
      <x:c r="L250" s="52"/>
      <x:c r="M250" s="52"/>
      <x:c r="N250" s="52"/>
    </x:row>
    <x:row r="251" ht="22" customHeight="1">
      <x:c r="A251" s="63"/>
      <x:c r="B251" s="61"/>
      <x:c r="C251" s="61"/>
      <x:c r="D251" s="61"/>
      <x:c r="E251" s="61"/>
      <x:c r="F251" s="64"/>
      <x:c r="G251" s="64"/>
      <x:c r="H251" s="65" t="str">
        <x:f>IF(COUNTA(A251:G251)=0,"",$N$3+SUM($F$15:F251)-SUM($G$15:G251))</x:f>
      </x:c>
      <x:c r="I251" s="61"/>
      <x:c r="J251" s="61"/>
      <x:c r="K251" s="61"/>
      <x:c r="L251" s="52"/>
      <x:c r="M251" s="52"/>
      <x:c r="N251" s="52"/>
    </x:row>
    <x:row r="252" ht="22" customHeight="1">
      <x:c r="A252" s="63"/>
      <x:c r="B252" s="61"/>
      <x:c r="C252" s="61"/>
      <x:c r="D252" s="61"/>
      <x:c r="E252" s="61"/>
      <x:c r="F252" s="64"/>
      <x:c r="G252" s="64"/>
      <x:c r="H252" s="65" t="str">
        <x:f>IF(COUNTA(A252:G252)=0,"",$N$3+SUM($F$15:F252)-SUM($G$15:G252))</x:f>
      </x:c>
      <x:c r="I252" s="61"/>
      <x:c r="J252" s="61"/>
      <x:c r="K252" s="61"/>
      <x:c r="L252" s="52"/>
      <x:c r="M252" s="52"/>
      <x:c r="N252" s="52"/>
    </x:row>
    <x:row r="253" ht="22" customHeight="1">
      <x:c r="A253" s="63"/>
      <x:c r="B253" s="61"/>
      <x:c r="C253" s="61"/>
      <x:c r="D253" s="61"/>
      <x:c r="E253" s="61"/>
      <x:c r="F253" s="64"/>
      <x:c r="G253" s="64"/>
      <x:c r="H253" s="65" t="str">
        <x:f>IF(COUNTA(A253:G253)=0,"",$N$3+SUM($F$15:F253)-SUM($G$15:G253))</x:f>
      </x:c>
      <x:c r="I253" s="61"/>
      <x:c r="J253" s="61"/>
      <x:c r="K253" s="61"/>
      <x:c r="L253" s="52"/>
      <x:c r="M253" s="52"/>
      <x:c r="N253" s="52"/>
    </x:row>
    <x:row r="254" ht="22" customHeight="1">
      <x:c r="A254" s="63"/>
      <x:c r="B254" s="61"/>
      <x:c r="C254" s="61"/>
      <x:c r="D254" s="61"/>
      <x:c r="E254" s="61"/>
      <x:c r="F254" s="64"/>
      <x:c r="G254" s="64"/>
      <x:c r="H254" s="65" t="str">
        <x:f>IF(COUNTA(A254:G254)=0,"",$N$3+SUM($F$15:F254)-SUM($G$15:G254))</x:f>
      </x:c>
      <x:c r="I254" s="61"/>
      <x:c r="J254" s="61"/>
      <x:c r="K254" s="61"/>
      <x:c r="L254" s="52"/>
      <x:c r="M254" s="52"/>
      <x:c r="N254" s="52"/>
    </x:row>
    <x:row r="255" ht="22" customHeight="1">
      <x:c r="A255" s="63"/>
      <x:c r="B255" s="61"/>
      <x:c r="C255" s="61"/>
      <x:c r="D255" s="61"/>
      <x:c r="E255" s="61"/>
      <x:c r="F255" s="64"/>
      <x:c r="G255" s="64"/>
      <x:c r="H255" s="65" t="str">
        <x:f>IF(COUNTA(A255:G255)=0,"",$N$3+SUM($F$15:F255)-SUM($G$15:G255))</x:f>
      </x:c>
      <x:c r="I255" s="61"/>
      <x:c r="J255" s="61"/>
      <x:c r="K255" s="61"/>
      <x:c r="L255" s="52"/>
      <x:c r="M255" s="52"/>
      <x:c r="N255" s="52"/>
    </x:row>
    <x:row r="256" ht="22" customHeight="1">
      <x:c r="A256" s="63"/>
      <x:c r="B256" s="61"/>
      <x:c r="C256" s="61"/>
      <x:c r="D256" s="61"/>
      <x:c r="E256" s="61"/>
      <x:c r="F256" s="64"/>
      <x:c r="G256" s="64"/>
      <x:c r="H256" s="65" t="str">
        <x:f>IF(COUNTA(A256:G256)=0,"",$N$3+SUM($F$15:F256)-SUM($G$15:G256))</x:f>
      </x:c>
      <x:c r="I256" s="61"/>
      <x:c r="J256" s="61"/>
      <x:c r="K256" s="61"/>
      <x:c r="L256" s="52"/>
      <x:c r="M256" s="52"/>
      <x:c r="N256" s="52"/>
    </x:row>
    <x:row r="257" ht="22" customHeight="1">
      <x:c r="A257" s="63"/>
      <x:c r="B257" s="61"/>
      <x:c r="C257" s="61"/>
      <x:c r="D257" s="61"/>
      <x:c r="E257" s="61"/>
      <x:c r="F257" s="64"/>
      <x:c r="G257" s="64"/>
      <x:c r="H257" s="65" t="str">
        <x:f>IF(COUNTA(A257:G257)=0,"",$N$3+SUM($F$15:F257)-SUM($G$15:G257))</x:f>
      </x:c>
      <x:c r="I257" s="61"/>
      <x:c r="J257" s="61"/>
      <x:c r="K257" s="61"/>
      <x:c r="L257" s="52"/>
      <x:c r="M257" s="52"/>
      <x:c r="N257" s="52"/>
    </x:row>
    <x:row r="258" ht="22" customHeight="1">
      <x:c r="A258" s="63"/>
      <x:c r="B258" s="61"/>
      <x:c r="C258" s="61"/>
      <x:c r="D258" s="61"/>
      <x:c r="E258" s="61"/>
      <x:c r="F258" s="64"/>
      <x:c r="G258" s="64"/>
      <x:c r="H258" s="65" t="str">
        <x:f>IF(COUNTA(A258:G258)=0,"",$N$3+SUM($F$15:F258)-SUM($G$15:G258))</x:f>
      </x:c>
      <x:c r="I258" s="61"/>
      <x:c r="J258" s="61"/>
      <x:c r="K258" s="61"/>
      <x:c r="L258" s="52"/>
      <x:c r="M258" s="52"/>
      <x:c r="N258" s="52"/>
    </x:row>
    <x:row r="259" ht="22" customHeight="1">
      <x:c r="A259" s="63"/>
      <x:c r="B259" s="61"/>
      <x:c r="C259" s="61"/>
      <x:c r="D259" s="61"/>
      <x:c r="E259" s="61"/>
      <x:c r="F259" s="64"/>
      <x:c r="G259" s="64"/>
      <x:c r="H259" s="65" t="str">
        <x:f>IF(COUNTA(A259:G259)=0,"",$N$3+SUM($F$15:F259)-SUM($G$15:G259))</x:f>
      </x:c>
      <x:c r="I259" s="61"/>
      <x:c r="J259" s="61"/>
      <x:c r="K259" s="61"/>
      <x:c r="L259" s="52"/>
      <x:c r="M259" s="52"/>
      <x:c r="N259" s="52"/>
    </x:row>
    <x:row r="260" ht="22" customHeight="1">
      <x:c r="A260" s="63"/>
      <x:c r="B260" s="61"/>
      <x:c r="C260" s="61"/>
      <x:c r="D260" s="61"/>
      <x:c r="E260" s="61"/>
      <x:c r="F260" s="64"/>
      <x:c r="G260" s="64"/>
      <x:c r="H260" s="65" t="str">
        <x:f>IF(COUNTA(A260:G260)=0,"",$N$3+SUM($F$15:F260)-SUM($G$15:G260))</x:f>
      </x:c>
      <x:c r="I260" s="61"/>
      <x:c r="J260" s="61"/>
      <x:c r="K260" s="61"/>
      <x:c r="L260" s="52"/>
      <x:c r="M260" s="52"/>
      <x:c r="N260" s="52"/>
    </x:row>
    <x:row r="261" ht="22" customHeight="1">
      <x:c r="A261" s="63"/>
      <x:c r="B261" s="61"/>
      <x:c r="C261" s="61"/>
      <x:c r="D261" s="61"/>
      <x:c r="E261" s="61"/>
      <x:c r="F261" s="64"/>
      <x:c r="G261" s="64"/>
      <x:c r="H261" s="65" t="str">
        <x:f>IF(COUNTA(A261:G261)=0,"",$N$3+SUM($F$15:F261)-SUM($G$15:G261))</x:f>
      </x:c>
      <x:c r="I261" s="61"/>
      <x:c r="J261" s="61"/>
      <x:c r="K261" s="61"/>
      <x:c r="L261" s="52"/>
      <x:c r="M261" s="52"/>
      <x:c r="N261" s="52"/>
    </x:row>
    <x:row r="262" ht="22" customHeight="1">
      <x:c r="A262" s="63"/>
      <x:c r="B262" s="61"/>
      <x:c r="C262" s="61"/>
      <x:c r="D262" s="61"/>
      <x:c r="E262" s="61"/>
      <x:c r="F262" s="64"/>
      <x:c r="G262" s="64"/>
      <x:c r="H262" s="65" t="str">
        <x:f>IF(COUNTA(A262:G262)=0,"",$N$3+SUM($F$15:F262)-SUM($G$15:G262))</x:f>
      </x:c>
      <x:c r="I262" s="61"/>
      <x:c r="J262" s="61"/>
      <x:c r="K262" s="61"/>
      <x:c r="L262" s="52"/>
      <x:c r="M262" s="52"/>
      <x:c r="N262" s="52"/>
    </x:row>
    <x:row r="263" ht="22" customHeight="1">
      <x:c r="A263" s="63"/>
      <x:c r="B263" s="61"/>
      <x:c r="C263" s="61"/>
      <x:c r="D263" s="61"/>
      <x:c r="E263" s="61"/>
      <x:c r="F263" s="64"/>
      <x:c r="G263" s="64"/>
      <x:c r="H263" s="65" t="str">
        <x:f>IF(COUNTA(A263:G263)=0,"",$N$3+SUM($F$15:F263)-SUM($G$15:G263))</x:f>
      </x:c>
      <x:c r="I263" s="61"/>
      <x:c r="J263" s="61"/>
      <x:c r="K263" s="61"/>
      <x:c r="L263" s="52"/>
      <x:c r="M263" s="52"/>
      <x:c r="N263" s="52"/>
    </x:row>
    <x:row r="264" ht="22" customHeight="1">
      <x:c r="A264" s="63"/>
      <x:c r="B264" s="61"/>
      <x:c r="C264" s="61"/>
      <x:c r="D264" s="61"/>
      <x:c r="E264" s="61"/>
      <x:c r="F264" s="64"/>
      <x:c r="G264" s="64"/>
      <x:c r="H264" s="65" t="str">
        <x:f>IF(COUNTA(A264:G264)=0,"",$N$3+SUM($F$15:F264)-SUM($G$15:G264))</x:f>
      </x:c>
      <x:c r="I264" s="61"/>
      <x:c r="J264" s="61"/>
      <x:c r="K264" s="61"/>
      <x:c r="L264" s="52"/>
      <x:c r="M264" s="52"/>
      <x:c r="N264" s="52"/>
    </x:row>
    <x:row r="265" ht="22" customHeight="1">
      <x:c r="A265" s="63"/>
      <x:c r="B265" s="61"/>
      <x:c r="C265" s="61"/>
      <x:c r="D265" s="61"/>
      <x:c r="E265" s="61"/>
      <x:c r="F265" s="64"/>
      <x:c r="G265" s="64"/>
      <x:c r="H265" s="65" t="str">
        <x:f>IF(COUNTA(A265:G265)=0,"",$N$3+SUM($F$15:F265)-SUM($G$15:G265))</x:f>
      </x:c>
      <x:c r="I265" s="61"/>
      <x:c r="J265" s="61"/>
      <x:c r="K265" s="61"/>
      <x:c r="L265" s="52"/>
      <x:c r="M265" s="52"/>
      <x:c r="N265" s="52"/>
    </x:row>
    <x:row r="266" ht="22" customHeight="1">
      <x:c r="A266" s="63"/>
      <x:c r="B266" s="61"/>
      <x:c r="C266" s="61"/>
      <x:c r="D266" s="61"/>
      <x:c r="E266" s="61"/>
      <x:c r="F266" s="64"/>
      <x:c r="G266" s="64"/>
      <x:c r="H266" s="65" t="str">
        <x:f>IF(COUNTA(A266:G266)=0,"",$N$3+SUM($F$15:F266)-SUM($G$15:G266))</x:f>
      </x:c>
      <x:c r="I266" s="61"/>
      <x:c r="J266" s="61"/>
      <x:c r="K266" s="61"/>
      <x:c r="L266" s="52"/>
      <x:c r="M266" s="52"/>
      <x:c r="N266" s="52"/>
    </x:row>
    <x:row r="267" ht="22" customHeight="1">
      <x:c r="A267" s="63"/>
      <x:c r="B267" s="61"/>
      <x:c r="C267" s="61"/>
      <x:c r="D267" s="61"/>
      <x:c r="E267" s="61"/>
      <x:c r="F267" s="64"/>
      <x:c r="G267" s="64"/>
      <x:c r="H267" s="65" t="str">
        <x:f>IF(COUNTA(A267:G267)=0,"",$N$3+SUM($F$15:F267)-SUM($G$15:G267))</x:f>
      </x:c>
      <x:c r="I267" s="61"/>
      <x:c r="J267" s="61"/>
      <x:c r="K267" s="61"/>
      <x:c r="L267" s="52"/>
      <x:c r="M267" s="52"/>
      <x:c r="N267" s="52"/>
    </x:row>
    <x:row r="268" ht="22" customHeight="1">
      <x:c r="A268" s="63"/>
      <x:c r="B268" s="61"/>
      <x:c r="C268" s="61"/>
      <x:c r="D268" s="61"/>
      <x:c r="E268" s="61"/>
      <x:c r="F268" s="64"/>
      <x:c r="G268" s="64"/>
      <x:c r="H268" s="65" t="str">
        <x:f>IF(COUNTA(A268:G268)=0,"",$N$3+SUM($F$15:F268)-SUM($G$15:G268))</x:f>
      </x:c>
      <x:c r="I268" s="61"/>
      <x:c r="J268" s="61"/>
      <x:c r="K268" s="61"/>
      <x:c r="L268" s="52"/>
      <x:c r="M268" s="52"/>
      <x:c r="N268" s="52"/>
    </x:row>
    <x:row r="269" ht="22" customHeight="1">
      <x:c r="A269" s="63"/>
      <x:c r="B269" s="61"/>
      <x:c r="C269" s="61"/>
      <x:c r="D269" s="61"/>
      <x:c r="E269" s="61"/>
      <x:c r="F269" s="64"/>
      <x:c r="G269" s="64"/>
      <x:c r="H269" s="65" t="str">
        <x:f>IF(COUNTA(A269:G269)=0,"",$N$3+SUM($F$15:F269)-SUM($G$15:G269))</x:f>
      </x:c>
      <x:c r="I269" s="61"/>
      <x:c r="J269" s="61"/>
      <x:c r="K269" s="61"/>
      <x:c r="L269" s="52"/>
      <x:c r="M269" s="52"/>
      <x:c r="N269" s="52"/>
    </x:row>
    <x:row r="270" ht="22" customHeight="1">
      <x:c r="A270" s="63"/>
      <x:c r="B270" s="61"/>
      <x:c r="C270" s="61"/>
      <x:c r="D270" s="61"/>
      <x:c r="E270" s="61"/>
      <x:c r="F270" s="64"/>
      <x:c r="G270" s="64"/>
      <x:c r="H270" s="65" t="str">
        <x:f>IF(COUNTA(A270:G270)=0,"",$N$3+SUM($F$15:F270)-SUM($G$15:G270))</x:f>
      </x:c>
      <x:c r="I270" s="61"/>
      <x:c r="J270" s="61"/>
      <x:c r="K270" s="61"/>
      <x:c r="L270" s="52"/>
      <x:c r="M270" s="52"/>
      <x:c r="N270" s="52"/>
    </x:row>
    <x:row r="271" ht="22" customHeight="1">
      <x:c r="A271" s="63"/>
      <x:c r="B271" s="61"/>
      <x:c r="C271" s="61"/>
      <x:c r="D271" s="61"/>
      <x:c r="E271" s="61"/>
      <x:c r="F271" s="64"/>
      <x:c r="G271" s="64"/>
      <x:c r="H271" s="65" t="str">
        <x:f>IF(COUNTA(A271:G271)=0,"",$N$3+SUM($F$15:F271)-SUM($G$15:G271))</x:f>
      </x:c>
      <x:c r="I271" s="61"/>
      <x:c r="J271" s="61"/>
      <x:c r="K271" s="61"/>
      <x:c r="L271" s="52"/>
      <x:c r="M271" s="52"/>
      <x:c r="N271" s="52"/>
    </x:row>
    <x:row r="272" ht="22" customHeight="1">
      <x:c r="A272" s="63"/>
      <x:c r="B272" s="61"/>
      <x:c r="C272" s="61"/>
      <x:c r="D272" s="61"/>
      <x:c r="E272" s="61"/>
      <x:c r="F272" s="64"/>
      <x:c r="G272" s="64"/>
      <x:c r="H272" s="65" t="str">
        <x:f>IF(COUNTA(A272:G272)=0,"",$N$3+SUM($F$15:F272)-SUM($G$15:G272))</x:f>
      </x:c>
      <x:c r="I272" s="61"/>
      <x:c r="J272" s="61"/>
      <x:c r="K272" s="61"/>
      <x:c r="L272" s="52"/>
      <x:c r="M272" s="52"/>
      <x:c r="N272" s="52"/>
    </x:row>
    <x:row r="273" ht="22" customHeight="1">
      <x:c r="A273" s="63"/>
      <x:c r="B273" s="61"/>
      <x:c r="C273" s="61"/>
      <x:c r="D273" s="61"/>
      <x:c r="E273" s="61"/>
      <x:c r="F273" s="64"/>
      <x:c r="G273" s="64"/>
      <x:c r="H273" s="65" t="str">
        <x:f>IF(COUNTA(A273:G273)=0,"",$N$3+SUM($F$15:F273)-SUM($G$15:G273))</x:f>
      </x:c>
      <x:c r="I273" s="61"/>
      <x:c r="J273" s="61"/>
      <x:c r="K273" s="61"/>
      <x:c r="L273" s="52"/>
      <x:c r="M273" s="52"/>
      <x:c r="N273" s="52"/>
    </x:row>
    <x:row r="274" ht="22" customHeight="1">
      <x:c r="A274" s="63"/>
      <x:c r="B274" s="61"/>
      <x:c r="C274" s="61"/>
      <x:c r="D274" s="61"/>
      <x:c r="E274" s="61"/>
      <x:c r="F274" s="64"/>
      <x:c r="G274" s="64"/>
      <x:c r="H274" s="65" t="str">
        <x:f>IF(COUNTA(A274:G274)=0,"",$N$3+SUM($F$15:F274)-SUM($G$15:G274))</x:f>
      </x:c>
      <x:c r="I274" s="61"/>
      <x:c r="J274" s="61"/>
      <x:c r="K274" s="61"/>
      <x:c r="L274" s="52"/>
      <x:c r="M274" s="52"/>
      <x:c r="N274" s="52"/>
    </x:row>
    <x:row r="275" ht="22" customHeight="1">
      <x:c r="A275" s="63"/>
      <x:c r="B275" s="61"/>
      <x:c r="C275" s="61"/>
      <x:c r="D275" s="61"/>
      <x:c r="E275" s="61"/>
      <x:c r="F275" s="64"/>
      <x:c r="G275" s="64"/>
      <x:c r="H275" s="65" t="str">
        <x:f>IF(COUNTA(A275:G275)=0,"",$N$3+SUM($F$15:F275)-SUM($G$15:G275))</x:f>
      </x:c>
      <x:c r="I275" s="61"/>
      <x:c r="J275" s="61"/>
      <x:c r="K275" s="61"/>
      <x:c r="L275" s="52"/>
      <x:c r="M275" s="52"/>
      <x:c r="N275" s="52"/>
    </x:row>
    <x:row r="276" ht="22" customHeight="1">
      <x:c r="A276" s="63"/>
      <x:c r="B276" s="61"/>
      <x:c r="C276" s="61"/>
      <x:c r="D276" s="61"/>
      <x:c r="E276" s="61"/>
      <x:c r="F276" s="64"/>
      <x:c r="G276" s="64"/>
      <x:c r="H276" s="65" t="str">
        <x:f>IF(COUNTA(A276:G276)=0,"",$N$3+SUM($F$15:F276)-SUM($G$15:G276))</x:f>
      </x:c>
      <x:c r="I276" s="61"/>
      <x:c r="J276" s="61"/>
      <x:c r="K276" s="61"/>
      <x:c r="L276" s="52"/>
      <x:c r="M276" s="52"/>
      <x:c r="N276" s="52"/>
    </x:row>
    <x:row r="277" ht="22" customHeight="1">
      <x:c r="A277" s="63"/>
      <x:c r="B277" s="61"/>
      <x:c r="C277" s="61"/>
      <x:c r="D277" s="61"/>
      <x:c r="E277" s="61"/>
      <x:c r="F277" s="64"/>
      <x:c r="G277" s="64"/>
      <x:c r="H277" s="65" t="str">
        <x:f>IF(COUNTA(A277:G277)=0,"",$N$3+SUM($F$15:F277)-SUM($G$15:G277))</x:f>
      </x:c>
      <x:c r="I277" s="61"/>
      <x:c r="J277" s="61"/>
      <x:c r="K277" s="61"/>
      <x:c r="L277" s="52"/>
      <x:c r="M277" s="52"/>
      <x:c r="N277" s="52"/>
    </x:row>
    <x:row r="278" ht="22" customHeight="1">
      <x:c r="A278" s="63"/>
      <x:c r="B278" s="61"/>
      <x:c r="C278" s="61"/>
      <x:c r="D278" s="61"/>
      <x:c r="E278" s="61"/>
      <x:c r="F278" s="64"/>
      <x:c r="G278" s="64"/>
      <x:c r="H278" s="65" t="str">
        <x:f>IF(COUNTA(A278:G278)=0,"",$N$3+SUM($F$15:F278)-SUM($G$15:G278))</x:f>
      </x:c>
      <x:c r="I278" s="61"/>
      <x:c r="J278" s="61"/>
      <x:c r="K278" s="61"/>
      <x:c r="L278" s="52"/>
      <x:c r="M278" s="52"/>
      <x:c r="N278" s="52"/>
    </x:row>
    <x:row r="279" ht="22" customHeight="1">
      <x:c r="A279" s="63"/>
      <x:c r="B279" s="61"/>
      <x:c r="C279" s="61"/>
      <x:c r="D279" s="61"/>
      <x:c r="E279" s="61"/>
      <x:c r="F279" s="64"/>
      <x:c r="G279" s="64"/>
      <x:c r="H279" s="65" t="str">
        <x:f>IF(COUNTA(A279:G279)=0,"",$N$3+SUM($F$15:F279)-SUM($G$15:G279))</x:f>
      </x:c>
      <x:c r="I279" s="61"/>
      <x:c r="J279" s="61"/>
      <x:c r="K279" s="61"/>
      <x:c r="L279" s="52"/>
      <x:c r="M279" s="52"/>
      <x:c r="N279" s="52"/>
    </x:row>
    <x:row r="280" ht="22" customHeight="1">
      <x:c r="A280" s="63"/>
      <x:c r="B280" s="61"/>
      <x:c r="C280" s="61"/>
      <x:c r="D280" s="61"/>
      <x:c r="E280" s="61"/>
      <x:c r="F280" s="64"/>
      <x:c r="G280" s="64"/>
      <x:c r="H280" s="65" t="str">
        <x:f>IF(COUNTA(A280:G280)=0,"",$N$3+SUM($F$15:F280)-SUM($G$15:G280))</x:f>
      </x:c>
      <x:c r="I280" s="61"/>
      <x:c r="J280" s="61"/>
      <x:c r="K280" s="61"/>
      <x:c r="L280" s="52"/>
      <x:c r="M280" s="52"/>
      <x:c r="N280" s="52"/>
    </x:row>
    <x:row r="281" ht="22" customHeight="1">
      <x:c r="A281" s="63"/>
      <x:c r="B281" s="61"/>
      <x:c r="C281" s="61"/>
      <x:c r="D281" s="61"/>
      <x:c r="E281" s="61"/>
      <x:c r="F281" s="64"/>
      <x:c r="G281" s="64"/>
      <x:c r="H281" s="65" t="str">
        <x:f>IF(COUNTA(A281:G281)=0,"",$N$3+SUM($F$15:F281)-SUM($G$15:G281))</x:f>
      </x:c>
      <x:c r="I281" s="61"/>
      <x:c r="J281" s="61"/>
      <x:c r="K281" s="61"/>
      <x:c r="L281" s="52"/>
      <x:c r="M281" s="52"/>
      <x:c r="N281" s="52"/>
    </x:row>
    <x:row r="282" ht="22" customHeight="1">
      <x:c r="A282" s="63"/>
      <x:c r="B282" s="61"/>
      <x:c r="C282" s="61"/>
      <x:c r="D282" s="61"/>
      <x:c r="E282" s="61"/>
      <x:c r="F282" s="64"/>
      <x:c r="G282" s="64"/>
      <x:c r="H282" s="65" t="str">
        <x:f>IF(COUNTA(A282:G282)=0,"",$N$3+SUM($F$15:F282)-SUM($G$15:G282))</x:f>
      </x:c>
      <x:c r="I282" s="61"/>
      <x:c r="J282" s="61"/>
      <x:c r="K282" s="61"/>
      <x:c r="L282" s="52"/>
      <x:c r="M282" s="52"/>
      <x:c r="N282" s="52"/>
    </x:row>
    <x:row r="283" ht="22" customHeight="1">
      <x:c r="A283" s="63"/>
      <x:c r="B283" s="61"/>
      <x:c r="C283" s="61"/>
      <x:c r="D283" s="61"/>
      <x:c r="E283" s="61"/>
      <x:c r="F283" s="64"/>
      <x:c r="G283" s="64"/>
      <x:c r="H283" s="65" t="str">
        <x:f>IF(COUNTA(A283:G283)=0,"",$N$3+SUM($F$15:F283)-SUM($G$15:G283))</x:f>
      </x:c>
      <x:c r="I283" s="61"/>
      <x:c r="J283" s="61"/>
      <x:c r="K283" s="61"/>
      <x:c r="L283" s="52"/>
      <x:c r="M283" s="52"/>
      <x:c r="N283" s="52"/>
    </x:row>
    <x:row r="284" ht="22" customHeight="1">
      <x:c r="A284" s="63"/>
      <x:c r="B284" s="61"/>
      <x:c r="C284" s="61"/>
      <x:c r="D284" s="61"/>
      <x:c r="E284" s="61"/>
      <x:c r="F284" s="64"/>
      <x:c r="G284" s="64"/>
      <x:c r="H284" s="65" t="str">
        <x:f>IF(COUNTA(A284:G284)=0,"",$N$3+SUM($F$15:F284)-SUM($G$15:G284))</x:f>
      </x:c>
      <x:c r="I284" s="61"/>
      <x:c r="J284" s="61"/>
      <x:c r="K284" s="61"/>
      <x:c r="L284" s="52"/>
      <x:c r="M284" s="52"/>
      <x:c r="N284" s="52"/>
    </x:row>
    <x:row r="285" ht="22" customHeight="1">
      <x:c r="A285" s="63"/>
      <x:c r="B285" s="61"/>
      <x:c r="C285" s="61"/>
      <x:c r="D285" s="61"/>
      <x:c r="E285" s="61"/>
      <x:c r="F285" s="64"/>
      <x:c r="G285" s="64"/>
      <x:c r="H285" s="65" t="str">
        <x:f>IF(COUNTA(A285:G285)=0,"",$N$3+SUM($F$15:F285)-SUM($G$15:G285))</x:f>
      </x:c>
      <x:c r="I285" s="61"/>
      <x:c r="J285" s="61"/>
      <x:c r="K285" s="61"/>
      <x:c r="L285" s="52"/>
      <x:c r="M285" s="52"/>
      <x:c r="N285" s="52"/>
    </x:row>
    <x:row r="286" ht="22" customHeight="1">
      <x:c r="A286" s="63"/>
      <x:c r="B286" s="61"/>
      <x:c r="C286" s="61"/>
      <x:c r="D286" s="61"/>
      <x:c r="E286" s="61"/>
      <x:c r="F286" s="64"/>
      <x:c r="G286" s="64"/>
      <x:c r="H286" s="65" t="str">
        <x:f>IF(COUNTA(A286:G286)=0,"",$N$3+SUM($F$15:F286)-SUM($G$15:G286))</x:f>
      </x:c>
      <x:c r="I286" s="61"/>
      <x:c r="J286" s="61"/>
      <x:c r="K286" s="61"/>
      <x:c r="L286" s="52"/>
      <x:c r="M286" s="52"/>
      <x:c r="N286" s="52"/>
    </x:row>
    <x:row r="287" ht="22" customHeight="1">
      <x:c r="A287" s="63"/>
      <x:c r="B287" s="61"/>
      <x:c r="C287" s="61"/>
      <x:c r="D287" s="61"/>
      <x:c r="E287" s="61"/>
      <x:c r="F287" s="64"/>
      <x:c r="G287" s="64"/>
      <x:c r="H287" s="65" t="str">
        <x:f>IF(COUNTA(A287:G287)=0,"",$N$3+SUM($F$15:F287)-SUM($G$15:G287))</x:f>
      </x:c>
      <x:c r="I287" s="61"/>
      <x:c r="J287" s="61"/>
      <x:c r="K287" s="61"/>
      <x:c r="L287" s="52"/>
      <x:c r="M287" s="52"/>
      <x:c r="N287" s="52"/>
    </x:row>
    <x:row r="288" ht="22" customHeight="1">
      <x:c r="A288" s="63"/>
      <x:c r="B288" s="61"/>
      <x:c r="C288" s="61"/>
      <x:c r="D288" s="61"/>
      <x:c r="E288" s="61"/>
      <x:c r="F288" s="64"/>
      <x:c r="G288" s="64"/>
      <x:c r="H288" s="65" t="str">
        <x:f>IF(COUNTA(A288:G288)=0,"",$N$3+SUM($F$15:F288)-SUM($G$15:G288))</x:f>
      </x:c>
      <x:c r="I288" s="61"/>
      <x:c r="J288" s="61"/>
      <x:c r="K288" s="61"/>
      <x:c r="L288" s="52"/>
      <x:c r="M288" s="52"/>
      <x:c r="N288" s="52"/>
    </x:row>
    <x:row r="289" ht="22" customHeight="1">
      <x:c r="A289" s="63"/>
      <x:c r="B289" s="61"/>
      <x:c r="C289" s="61"/>
      <x:c r="D289" s="61"/>
      <x:c r="E289" s="61"/>
      <x:c r="F289" s="64"/>
      <x:c r="G289" s="64"/>
      <x:c r="H289" s="65" t="str">
        <x:f>IF(COUNTA(A289:G289)=0,"",$N$3+SUM($F$15:F289)-SUM($G$15:G289))</x:f>
      </x:c>
      <x:c r="I289" s="61"/>
      <x:c r="J289" s="61"/>
      <x:c r="K289" s="61"/>
      <x:c r="L289" s="52"/>
      <x:c r="M289" s="52"/>
      <x:c r="N289" s="52"/>
    </x:row>
    <x:row r="290" ht="22" customHeight="1">
      <x:c r="A290" s="63"/>
      <x:c r="B290" s="61"/>
      <x:c r="C290" s="61"/>
      <x:c r="D290" s="61"/>
      <x:c r="E290" s="61"/>
      <x:c r="F290" s="64"/>
      <x:c r="G290" s="64"/>
      <x:c r="H290" s="65" t="str">
        <x:f>IF(COUNTA(A290:G290)=0,"",$N$3+SUM($F$15:F290)-SUM($G$15:G290))</x:f>
      </x:c>
      <x:c r="I290" s="61"/>
      <x:c r="J290" s="61"/>
      <x:c r="K290" s="61"/>
      <x:c r="L290" s="52"/>
      <x:c r="M290" s="52"/>
      <x:c r="N290" s="52"/>
    </x:row>
    <x:row r="291" ht="22" customHeight="1">
      <x:c r="A291" s="63"/>
      <x:c r="B291" s="61"/>
      <x:c r="C291" s="61"/>
      <x:c r="D291" s="61"/>
      <x:c r="E291" s="61"/>
      <x:c r="F291" s="64"/>
      <x:c r="G291" s="64"/>
      <x:c r="H291" s="65" t="str">
        <x:f>IF(COUNTA(A291:G291)=0,"",$N$3+SUM($F$15:F291)-SUM($G$15:G291))</x:f>
      </x:c>
      <x:c r="I291" s="61"/>
      <x:c r="J291" s="61"/>
      <x:c r="K291" s="61"/>
      <x:c r="L291" s="52"/>
      <x:c r="M291" s="52"/>
      <x:c r="N291" s="52"/>
    </x:row>
    <x:row r="292" ht="22" customHeight="1">
      <x:c r="A292" s="63"/>
      <x:c r="B292" s="61"/>
      <x:c r="C292" s="61"/>
      <x:c r="D292" s="61"/>
      <x:c r="E292" s="61"/>
      <x:c r="F292" s="64"/>
      <x:c r="G292" s="64"/>
      <x:c r="H292" s="65" t="str">
        <x:f>IF(COUNTA(A292:G292)=0,"",$N$3+SUM($F$15:F292)-SUM($G$15:G292))</x:f>
      </x:c>
      <x:c r="I292" s="61"/>
      <x:c r="J292" s="61"/>
      <x:c r="K292" s="61"/>
      <x:c r="L292" s="52"/>
      <x:c r="M292" s="52"/>
      <x:c r="N292" s="52"/>
    </x:row>
    <x:row r="293" ht="22" customHeight="1">
      <x:c r="A293" s="63"/>
      <x:c r="B293" s="61"/>
      <x:c r="C293" s="61"/>
      <x:c r="D293" s="61"/>
      <x:c r="E293" s="61"/>
      <x:c r="F293" s="64"/>
      <x:c r="G293" s="64"/>
      <x:c r="H293" s="65" t="str">
        <x:f>IF(COUNTA(A293:G293)=0,"",$N$3+SUM($F$15:F293)-SUM($G$15:G293))</x:f>
      </x:c>
      <x:c r="I293" s="61"/>
      <x:c r="J293" s="61"/>
      <x:c r="K293" s="61"/>
      <x:c r="L293" s="52"/>
      <x:c r="M293" s="52"/>
      <x:c r="N293" s="52"/>
    </x:row>
    <x:row r="294" ht="22" customHeight="1">
      <x:c r="A294" s="63"/>
      <x:c r="B294" s="61"/>
      <x:c r="C294" s="61"/>
      <x:c r="D294" s="61"/>
      <x:c r="E294" s="61"/>
      <x:c r="F294" s="64"/>
      <x:c r="G294" s="64"/>
      <x:c r="H294" s="65" t="str">
        <x:f>IF(COUNTA(A294:G294)=0,"",$N$3+SUM($F$15:F294)-SUM($G$15:G294))</x:f>
      </x:c>
      <x:c r="I294" s="61"/>
      <x:c r="J294" s="61"/>
      <x:c r="K294" s="61"/>
      <x:c r="L294" s="52"/>
      <x:c r="M294" s="52"/>
      <x:c r="N294" s="52"/>
    </x:row>
    <x:row r="295" ht="22" customHeight="1">
      <x:c r="A295" s="63"/>
      <x:c r="B295" s="61"/>
      <x:c r="C295" s="61"/>
      <x:c r="D295" s="61"/>
      <x:c r="E295" s="61"/>
      <x:c r="F295" s="64"/>
      <x:c r="G295" s="64"/>
      <x:c r="H295" s="65" t="str">
        <x:f>IF(COUNTA(A295:G295)=0,"",$N$3+SUM($F$15:F295)-SUM($G$15:G295))</x:f>
      </x:c>
      <x:c r="I295" s="61"/>
      <x:c r="J295" s="61"/>
      <x:c r="K295" s="61"/>
      <x:c r="L295" s="52"/>
      <x:c r="M295" s="52"/>
      <x:c r="N295" s="52"/>
    </x:row>
    <x:row r="296" ht="22" customHeight="1">
      <x:c r="A296" s="63"/>
      <x:c r="B296" s="61"/>
      <x:c r="C296" s="61"/>
      <x:c r="D296" s="61"/>
      <x:c r="E296" s="61"/>
      <x:c r="F296" s="64"/>
      <x:c r="G296" s="64"/>
      <x:c r="H296" s="65" t="str">
        <x:f>IF(COUNTA(A296:G296)=0,"",$N$3+SUM($F$15:F296)-SUM($G$15:G296))</x:f>
      </x:c>
      <x:c r="I296" s="61"/>
      <x:c r="J296" s="61"/>
      <x:c r="K296" s="61"/>
      <x:c r="L296" s="52"/>
      <x:c r="M296" s="52"/>
      <x:c r="N296" s="52"/>
    </x:row>
    <x:row r="297" ht="22" customHeight="1">
      <x:c r="A297" s="63"/>
      <x:c r="B297" s="61"/>
      <x:c r="C297" s="61"/>
      <x:c r="D297" s="61"/>
      <x:c r="E297" s="61"/>
      <x:c r="F297" s="64"/>
      <x:c r="G297" s="64"/>
      <x:c r="H297" s="65" t="str">
        <x:f>IF(COUNTA(A297:G297)=0,"",$N$3+SUM($F$15:F297)-SUM($G$15:G297))</x:f>
      </x:c>
      <x:c r="I297" s="61"/>
      <x:c r="J297" s="61"/>
      <x:c r="K297" s="61"/>
      <x:c r="L297" s="52"/>
      <x:c r="M297" s="52"/>
      <x:c r="N297" s="52"/>
    </x:row>
    <x:row r="298" ht="22" customHeight="1">
      <x:c r="A298" s="63"/>
      <x:c r="B298" s="61"/>
      <x:c r="C298" s="61"/>
      <x:c r="D298" s="61"/>
      <x:c r="E298" s="61"/>
      <x:c r="F298" s="64"/>
      <x:c r="G298" s="64"/>
      <x:c r="H298" s="65" t="str">
        <x:f>IF(COUNTA(A298:G298)=0,"",$N$3+SUM($F$15:F298)-SUM($G$15:G298))</x:f>
      </x:c>
      <x:c r="I298" s="61"/>
      <x:c r="J298" s="61"/>
      <x:c r="K298" s="61"/>
      <x:c r="L298" s="52"/>
      <x:c r="M298" s="52"/>
      <x:c r="N298" s="52"/>
    </x:row>
    <x:row r="299" ht="22" customHeight="1">
      <x:c r="A299" s="63"/>
      <x:c r="B299" s="61"/>
      <x:c r="C299" s="61"/>
      <x:c r="D299" s="61"/>
      <x:c r="E299" s="61"/>
      <x:c r="F299" s="64"/>
      <x:c r="G299" s="64"/>
      <x:c r="H299" s="65" t="str">
        <x:f>IF(COUNTA(A299:G299)=0,"",$N$3+SUM($F$15:F299)-SUM($G$15:G299))</x:f>
      </x:c>
      <x:c r="I299" s="61"/>
      <x:c r="J299" s="61"/>
      <x:c r="K299" s="61"/>
      <x:c r="L299" s="52"/>
      <x:c r="M299" s="52"/>
      <x:c r="N299" s="52"/>
    </x:row>
    <x:row r="300" ht="22" customHeight="1">
      <x:c r="A300" s="63"/>
      <x:c r="B300" s="61"/>
      <x:c r="C300" s="61"/>
      <x:c r="D300" s="61"/>
      <x:c r="E300" s="61"/>
      <x:c r="F300" s="64"/>
      <x:c r="G300" s="64"/>
      <x:c r="H300" s="65" t="str">
        <x:f>IF(COUNTA(A300:G300)=0,"",$N$3+SUM($F$15:F300)-SUM($G$15:G300))</x:f>
      </x:c>
      <x:c r="I300" s="61"/>
      <x:c r="J300" s="61"/>
      <x:c r="K300" s="61"/>
      <x:c r="L300" s="52"/>
      <x:c r="M300" s="52"/>
      <x:c r="N300" s="52"/>
    </x:row>
    <x:row r="301" ht="22" customHeight="1">
      <x:c r="A301" s="63"/>
      <x:c r="B301" s="61"/>
      <x:c r="C301" s="61"/>
      <x:c r="D301" s="61"/>
      <x:c r="E301" s="61"/>
      <x:c r="F301" s="64"/>
      <x:c r="G301" s="64"/>
      <x:c r="H301" s="65" t="str">
        <x:f>IF(COUNTA(A301:G301)=0,"",$N$3+SUM($F$15:F301)-SUM($G$15:G301))</x:f>
      </x:c>
      <x:c r="I301" s="61"/>
      <x:c r="J301" s="61"/>
      <x:c r="K301" s="61"/>
      <x:c r="L301" s="52"/>
      <x:c r="M301" s="52"/>
      <x:c r="N301" s="52"/>
    </x:row>
    <x:row r="302" ht="22" customHeight="1">
      <x:c r="A302" s="63"/>
      <x:c r="B302" s="61"/>
      <x:c r="C302" s="61"/>
      <x:c r="D302" s="61"/>
      <x:c r="E302" s="61"/>
      <x:c r="F302" s="64"/>
      <x:c r="G302" s="64"/>
      <x:c r="H302" s="65" t="str">
        <x:f>IF(COUNTA(A302:G302)=0,"",$N$3+SUM($F$15:F302)-SUM($G$15:G302))</x:f>
      </x:c>
      <x:c r="I302" s="61"/>
      <x:c r="J302" s="61"/>
      <x:c r="K302" s="61"/>
      <x:c r="L302" s="52"/>
      <x:c r="M302" s="52"/>
      <x:c r="N302" s="52"/>
    </x:row>
    <x:row r="303" ht="22" customHeight="1">
      <x:c r="A303" s="63"/>
      <x:c r="B303" s="61"/>
      <x:c r="C303" s="61"/>
      <x:c r="D303" s="61"/>
      <x:c r="E303" s="61"/>
      <x:c r="F303" s="64"/>
      <x:c r="G303" s="64"/>
      <x:c r="H303" s="65" t="str">
        <x:f>IF(COUNTA(A303:G303)=0,"",$N$3+SUM($F$15:F303)-SUM($G$15:G303))</x:f>
      </x:c>
      <x:c r="I303" s="61"/>
      <x:c r="J303" s="61"/>
      <x:c r="K303" s="61"/>
      <x:c r="L303" s="52"/>
      <x:c r="M303" s="52"/>
      <x:c r="N303" s="52"/>
    </x:row>
    <x:row r="304" ht="22" customHeight="1">
      <x:c r="A304" s="63"/>
      <x:c r="B304" s="61"/>
      <x:c r="C304" s="61"/>
      <x:c r="D304" s="61"/>
      <x:c r="E304" s="61"/>
      <x:c r="F304" s="64"/>
      <x:c r="G304" s="64"/>
      <x:c r="H304" s="65" t="str">
        <x:f>IF(COUNTA(A304:G304)=0,"",$N$3+SUM($F$15:F304)-SUM($G$15:G304))</x:f>
      </x:c>
      <x:c r="I304" s="61"/>
      <x:c r="J304" s="61"/>
      <x:c r="K304" s="61"/>
      <x:c r="L304" s="52"/>
      <x:c r="M304" s="52"/>
      <x:c r="N304" s="52"/>
    </x:row>
    <x:row r="305" ht="22" customHeight="1">
      <x:c r="A305" s="63"/>
      <x:c r="B305" s="61"/>
      <x:c r="C305" s="61"/>
      <x:c r="D305" s="61"/>
      <x:c r="E305" s="61"/>
      <x:c r="F305" s="64"/>
      <x:c r="G305" s="64"/>
      <x:c r="H305" s="65" t="str">
        <x:f>IF(COUNTA(A305:G305)=0,"",$N$3+SUM($F$15:F305)-SUM($G$15:G305))</x:f>
      </x:c>
      <x:c r="I305" s="61"/>
      <x:c r="J305" s="61"/>
      <x:c r="K305" s="61"/>
      <x:c r="L305" s="52"/>
      <x:c r="M305" s="52"/>
      <x:c r="N305" s="52"/>
    </x:row>
    <x:row r="306" ht="22" customHeight="1">
      <x:c r="A306" s="63"/>
      <x:c r="B306" s="61"/>
      <x:c r="C306" s="61"/>
      <x:c r="D306" s="61"/>
      <x:c r="E306" s="61"/>
      <x:c r="F306" s="64"/>
      <x:c r="G306" s="64"/>
      <x:c r="H306" s="65" t="str">
        <x:f>IF(COUNTA(A306:G306)=0,"",$N$3+SUM($F$15:F306)-SUM($G$15:G306))</x:f>
      </x:c>
      <x:c r="I306" s="61"/>
      <x:c r="J306" s="61"/>
      <x:c r="K306" s="61"/>
      <x:c r="L306" s="52"/>
      <x:c r="M306" s="52"/>
      <x:c r="N306" s="52"/>
    </x:row>
    <x:row r="307" ht="22" customHeight="1">
      <x:c r="A307" s="63"/>
      <x:c r="B307" s="61"/>
      <x:c r="C307" s="61"/>
      <x:c r="D307" s="61"/>
      <x:c r="E307" s="61"/>
      <x:c r="F307" s="64"/>
      <x:c r="G307" s="64"/>
      <x:c r="H307" s="65" t="str">
        <x:f>IF(COUNTA(A307:G307)=0,"",$N$3+SUM($F$15:F307)-SUM($G$15:G307))</x:f>
      </x:c>
      <x:c r="I307" s="61"/>
      <x:c r="J307" s="61"/>
      <x:c r="K307" s="61"/>
      <x:c r="L307" s="52"/>
      <x:c r="M307" s="52"/>
      <x:c r="N307" s="52"/>
    </x:row>
    <x:row r="308" ht="22" customHeight="1">
      <x:c r="A308" s="63"/>
      <x:c r="B308" s="61"/>
      <x:c r="C308" s="61"/>
      <x:c r="D308" s="61"/>
      <x:c r="E308" s="61"/>
      <x:c r="F308" s="64"/>
      <x:c r="G308" s="64"/>
      <x:c r="H308" s="65" t="str">
        <x:f>IF(COUNTA(A308:G308)=0,"",$N$3+SUM($F$15:F308)-SUM($G$15:G308))</x:f>
      </x:c>
      <x:c r="I308" s="61"/>
      <x:c r="J308" s="61"/>
      <x:c r="K308" s="61"/>
      <x:c r="L308" s="52"/>
      <x:c r="M308" s="52"/>
      <x:c r="N308" s="52"/>
    </x:row>
    <x:row r="309" ht="22" customHeight="1">
      <x:c r="A309" s="63"/>
      <x:c r="B309" s="61"/>
      <x:c r="C309" s="61"/>
      <x:c r="D309" s="61"/>
      <x:c r="E309" s="61"/>
      <x:c r="F309" s="64"/>
      <x:c r="G309" s="64"/>
      <x:c r="H309" s="65" t="str">
        <x:f>IF(COUNTA(A309:G309)=0,"",$N$3+SUM($F$15:F309)-SUM($G$15:G309))</x:f>
      </x:c>
      <x:c r="I309" s="61"/>
      <x:c r="J309" s="61"/>
      <x:c r="K309" s="61"/>
      <x:c r="L309" s="52"/>
      <x:c r="M309" s="52"/>
      <x:c r="N309" s="52"/>
    </x:row>
    <x:row r="310" ht="22" customHeight="1">
      <x:c r="A310" s="63"/>
      <x:c r="B310" s="61"/>
      <x:c r="C310" s="61"/>
      <x:c r="D310" s="61"/>
      <x:c r="E310" s="61"/>
      <x:c r="F310" s="64"/>
      <x:c r="G310" s="64"/>
      <x:c r="H310" s="65" t="str">
        <x:f>IF(COUNTA(A310:G310)=0,"",$N$3+SUM($F$15:F310)-SUM($G$15:G310))</x:f>
      </x:c>
      <x:c r="I310" s="61"/>
      <x:c r="J310" s="61"/>
      <x:c r="K310" s="61"/>
      <x:c r="L310" s="52"/>
      <x:c r="M310" s="52"/>
      <x:c r="N310" s="52"/>
    </x:row>
    <x:row r="311" ht="22" customHeight="1">
      <x:c r="A311" s="63"/>
      <x:c r="B311" s="61"/>
      <x:c r="C311" s="61"/>
      <x:c r="D311" s="61"/>
      <x:c r="E311" s="61"/>
      <x:c r="F311" s="64"/>
      <x:c r="G311" s="64"/>
      <x:c r="H311" s="65" t="str">
        <x:f>IF(COUNTA(A311:G311)=0,"",$N$3+SUM($F$15:F311)-SUM($G$15:G311))</x:f>
      </x:c>
      <x:c r="I311" s="61"/>
      <x:c r="J311" s="61"/>
      <x:c r="K311" s="61"/>
      <x:c r="L311" s="52"/>
      <x:c r="M311" s="52"/>
      <x:c r="N311" s="52"/>
    </x:row>
    <x:row r="312" ht="22" customHeight="1">
      <x:c r="A312" s="63"/>
      <x:c r="B312" s="61"/>
      <x:c r="C312" s="61"/>
      <x:c r="D312" s="61"/>
      <x:c r="E312" s="61"/>
      <x:c r="F312" s="64"/>
      <x:c r="G312" s="64"/>
      <x:c r="H312" s="65" t="str">
        <x:f>IF(COUNTA(A312:G312)=0,"",$N$3+SUM($F$15:F312)-SUM($G$15:G312))</x:f>
      </x:c>
      <x:c r="I312" s="61"/>
      <x:c r="J312" s="61"/>
      <x:c r="K312" s="61"/>
      <x:c r="L312" s="52"/>
      <x:c r="M312" s="52"/>
      <x:c r="N312" s="52"/>
    </x:row>
    <x:row r="313" ht="22" customHeight="1">
      <x:c r="A313" s="63"/>
      <x:c r="B313" s="61"/>
      <x:c r="C313" s="61"/>
      <x:c r="D313" s="61"/>
      <x:c r="E313" s="61"/>
      <x:c r="F313" s="64"/>
      <x:c r="G313" s="64"/>
      <x:c r="H313" s="65" t="str">
        <x:f>IF(COUNTA(A313:G313)=0,"",$N$3+SUM($F$15:F313)-SUM($G$15:G313))</x:f>
      </x:c>
      <x:c r="I313" s="61"/>
      <x:c r="J313" s="61"/>
      <x:c r="K313" s="61"/>
      <x:c r="L313" s="52"/>
      <x:c r="M313" s="52"/>
      <x:c r="N313" s="52"/>
    </x:row>
    <x:row r="314" ht="22" customHeight="1">
      <x:c r="A314" s="63"/>
      <x:c r="B314" s="61"/>
      <x:c r="C314" s="61"/>
      <x:c r="D314" s="61"/>
      <x:c r="E314" s="61"/>
      <x:c r="F314" s="64"/>
      <x:c r="G314" s="64"/>
      <x:c r="H314" s="65" t="str">
        <x:f>IF(COUNTA(A314:G314)=0,"",$N$3+SUM($F$15:F314)-SUM($G$15:G314))</x:f>
      </x:c>
      <x:c r="I314" s="61"/>
      <x:c r="J314" s="61"/>
      <x:c r="K314" s="61"/>
      <x:c r="L314" s="52"/>
      <x:c r="M314" s="52"/>
      <x:c r="N314" s="52"/>
    </x:row>
    <x:row r="315" ht="22" customHeight="1">
      <x:c r="A315" s="52"/>
      <x:c r="B315" s="52"/>
      <x:c r="C315" s="52"/>
      <x:c r="D315" s="52"/>
      <x:c r="E315" s="52"/>
      <x:c r="F315" s="52"/>
      <x:c r="G315" s="52"/>
      <x:c r="H315" s="52"/>
      <x:c r="I315" s="52"/>
      <x:c r="J315" s="52"/>
      <x:c r="K315" s="52"/>
      <x:c r="L315" s="52"/>
      <x:c r="M315" s="52"/>
      <x:c r="N315" s="52"/>
    </x:row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</x:sheetData>
  <x:mergeCells>
    <x:mergeCell ref="M9:N10"/>
    <x:mergeCell ref="M11:N12"/>
    <x:mergeCell ref="M13:N14"/>
    <x:mergeCell ref="M15:N16"/>
    <x:mergeCell ref="M17:N18"/>
    <x:mergeCell ref="M19:N20"/>
    <x:mergeCell ref="M21:N22"/>
    <x:mergeCell ref="M23:N24"/>
  </x:mergeCells>
  <x:conditionalFormatting sqref="D16:D39">
    <x:cfRule type="containsText" dxfId="16" priority="1" operator="containsText" text="Discovery">
      <x:formula>NOT(ISERROR(SEARCH(("Discovery"),(D16))))</x:formula>
    </x:cfRule>
    <x:cfRule type="containsText" dxfId="15" priority="2" operator="containsText" text="Qualification">
      <x:formula>NOT(ISERROR(SEARCH(("Qualification"),(D16))))</x:formula>
    </x:cfRule>
    <x:cfRule type="containsText" dxfId="14" priority="3" operator="containsText" text="Solution Fit">
      <x:formula>NOT(ISERROR(SEARCH(("Solution Fit"),(D16))))</x:formula>
    </x:cfRule>
    <x:cfRule type="containsText" dxfId="13" priority="4" operator="containsText" text="Technical Validation">
      <x:formula>NOT(ISERROR(SEARCH(("Technical Validation"),(D16))))</x:formula>
    </x:cfRule>
    <x:cfRule type="containsText" dxfId="12" priority="5" operator="containsText" text="Proposal">
      <x:formula>NOT(ISERROR(SEARCH(("Proposal"),(D16))))</x:formula>
    </x:cfRule>
    <x:cfRule type="containsText" dxfId="11" priority="6" operator="containsText" text="Negotiation">
      <x:formula>NOT(ISERROR(SEARCH(("Negotiation"),(D16))))</x:formula>
    </x:cfRule>
    <x:cfRule type="containsText" dxfId="10" priority="7" operator="containsText" text="Closed Won">
      <x:formula>NOT(ISERROR(SEARCH(("Closed Won"),(D16))))</x:formula>
    </x:cfRule>
    <x:cfRule type="containsText" dxfId="9" priority="8" operator="containsText" text="Closed Lost">
      <x:formula>NOT(ISERROR(SEARCH(("Closed Lost"),(D16))))</x:formula>
    </x:cfRule>
  </x:conditionalFormatting>
  <x:conditionalFormatting sqref="G16:G39">
    <x:cfRule type="containsText" dxfId="8" priority="9" operator="containsText" text="Commit">
      <x:formula>NOT(ISERROR(SEARCH(("Commit"),(G16))))</x:formula>
    </x:cfRule>
    <x:cfRule type="containsText" dxfId="7" priority="10" operator="containsText" text="Best Case">
      <x:formula>NOT(ISERROR(SEARCH(("Best Case"),(G16))))</x:formula>
    </x:cfRule>
    <x:cfRule type="containsText" dxfId="6" priority="11" operator="containsText" text="Pipeline">
      <x:formula>NOT(ISERROR(SEARCH(("Pipeline"),(G16))))</x:formula>
    </x:cfRule>
  </x:conditionalFormatting>
  <x:conditionalFormatting sqref="J16:J39">
    <x:cfRule type="containsText" dxfId="5" priority="12" operator="containsText" text="STALE">
      <x:formula>NOT(ISERROR(SEARCH(("STALE"),(J16))))</x:formula>
    </x:cfRule>
    <x:cfRule type="containsText" dxfId="4" priority="13" operator="containsText" text="Current">
      <x:formula>NOT(ISERROR(SEARCH(("Current"),(J16))))</x:formula>
    </x:cfRule>
    <x:cfRule type="containsText" dxfId="3" priority="14" operator="containsText" text="Closed">
      <x:formula>NOT(ISERROR(SEARCH(("Closed"),(J16))))</x:formula>
    </x:cfRule>
  </x:conditionalFormatting>
  <x:conditionalFormatting sqref="N16:N39">
    <x:cfRule type="containsText" dxfId="2" priority="15" operator="containsText" text="High">
      <x:formula>NOT(ISERROR(SEARCH(("High"),(N16))))</x:formula>
    </x:cfRule>
    <x:cfRule type="containsText" dxfId="1" priority="16" operator="containsText" text="Medium">
      <x:formula>NOT(ISERROR(SEARCH(("Medium"),(N16))))</x:formula>
    </x:cfRule>
    <x:cfRule type="containsText" dxfId="0" priority="17" operator="containsText" text="Low">
      <x:formula>NOT(ISERROR(SEARCH(("Low"),(N16))))</x:formula>
    </x:cfRule>
  </x:conditionalFormatting>
  <x:conditionalFormatting sqref="F15:G314">
    <x:cfRule type="expression" dxfId="17" priority="18">
      <x:formula>AND($F15&gt;0,$G15&gt;0)</x:formula>
    </x:cfRule>
  </x:conditionalFormatting>
  <x:conditionalFormatting sqref="G9:G9">
    <x:cfRule type="cellIs" dxfId="18" priority="19" operator="notEqual">
      <x:formula>0</x:formula>
    </x:cfRule>
  </x:conditionalFormatting>
  <x:dataValidations count="3">
    <x:dataValidation type="list" sqref="C15:C314">
      <x:formula1>"Inscripción,Arbitraje,Cancha,Premiación,Venta,Patrocinio,Material,Reembolso,Aporte a caja,Depósito a banco,Otros"</x:formula1>
    </x:dataValidation>
    <x:dataValidation type="decimal" operator="greaterThanOrEqual" sqref="F15:F314">
      <x:formula1>0</x:formula1>
    </x:dataValidation>
    <x:dataValidation type="decimal" operator="greaterThanOrEqual" sqref="G15:G314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3003ab4a8148d1"/>
  </x:tableParts>
</x:worksheet>
</file>